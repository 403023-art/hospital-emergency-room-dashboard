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MAN YADAV\Documents\"/>
    </mc:Choice>
  </mc:AlternateContent>
  <xr:revisionPtr revIDLastSave="0" documentId="13_ncr:1_{655C9D7F-91D4-4B21-A515-41A50470359F}" xr6:coauthVersionLast="47" xr6:coauthVersionMax="47" xr10:uidLastSave="{00000000-0000-0000-0000-000000000000}"/>
  <bookViews>
    <workbookView xWindow="-108" yWindow="-108" windowWidth="23256" windowHeight="12456" firstSheet="1" activeTab="4" xr2:uid="{5A038373-F15A-4034-A2A2-F79B0F602C84}"/>
  </bookViews>
  <sheets>
    <sheet name="Pivot Report" sheetId="1" r:id="rId1"/>
    <sheet name="satisfaction score daily trend" sheetId="6" r:id="rId2"/>
    <sheet name="average wait time daily trend" sheetId="5" r:id="rId3"/>
    <sheet name="Daily er of no of patients" sheetId="4" r:id="rId4"/>
    <sheet name="Dashboard" sheetId="2" r:id="rId5"/>
  </sheets>
  <definedNames>
    <definedName name="Slicer_Date__Month">#N/A</definedName>
    <definedName name="Slicer_Date__Year">#N/A</definedName>
  </definedNames>
  <calcPr calcId="191029"/>
  <pivotCaches>
    <pivotCache cacheId="1435" r:id="rId6"/>
    <pivotCache cacheId="1636" r:id="rId7"/>
    <pivotCache cacheId="1639" r:id="rId8"/>
    <pivotCache cacheId="1642" r:id="rId9"/>
    <pivotCache cacheId="1645" r:id="rId10"/>
    <pivotCache cacheId="1648" r:id="rId11"/>
    <pivotCache cacheId="1651" r:id="rId12"/>
    <pivotCache cacheId="1654" r:id="rId13"/>
    <pivotCache cacheId="1657" r:id="rId14"/>
    <pivotCache cacheId="1660" r:id="rId15"/>
    <pivotCache cacheId="1663" r:id="rId16"/>
    <pivotCache cacheId="1666" r:id="rId17"/>
  </pivotCaches>
  <extLst>
    <ext xmlns:x14="http://schemas.microsoft.com/office/spreadsheetml/2009/9/main" uri="{876F7934-8845-4945-9796-88D515C7AA90}">
      <x14:pivotCaches>
        <pivotCache cacheId="12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fd42108-662c-4824-b378-544884e80941" name="Hospital Emergency Room Data" connection="Query - Hospital Emergency Room Data"/>
          <x15:modelTable id="Calender_Table_8c8757fa-b622-438e-8734-e02cf1a0004a"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43" i="1" l="1"/>
  <c r="C42" i="1"/>
  <c r="B43" i="1"/>
  <c r="B42" i="1"/>
  <c r="A43" i="1"/>
  <c r="A4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3D4C8E-CE06-4CE5-A0A4-D2977080C04B}" name="Query - Calender_Table" description="Connection to the 'Calender_Table' query in the workbook." type="100" refreshedVersion="8" minRefreshableVersion="5">
    <extLst>
      <ext xmlns:x15="http://schemas.microsoft.com/office/spreadsheetml/2010/11/main" uri="{DE250136-89BD-433C-8126-D09CA5730AF9}">
        <x15:connection id="c23bfe8a-68db-4735-8e72-8e51c719553a"/>
      </ext>
    </extLst>
  </connection>
  <connection id="2" xr16:uid="{B8938898-6FA0-463C-95C1-CE4BAEC8295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bca987c-1438-4cc1-935b-ccb08af4e776"/>
      </ext>
    </extLst>
  </connection>
  <connection id="3" xr16:uid="{CDAF989F-EF2F-49A9-9D9A-CE6C44B1647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<sst xmlns="http://schemas.openxmlformats.org/spreadsheetml/2006/main" count="158" uniqueCount="77">
  <si>
    <t>Row Labels</t>
  </si>
  <si>
    <t>Grand Total</t>
  </si>
  <si>
    <t>Distinct Count of Patient Id</t>
  </si>
  <si>
    <t>No.of patient</t>
  </si>
  <si>
    <t>Average of Patient Waittime</t>
  </si>
  <si>
    <t>Average of Patient Satisfaction Score</t>
  </si>
  <si>
    <t>daily trends of no.of patient</t>
  </si>
  <si>
    <t>average wait time</t>
  </si>
  <si>
    <t xml:space="preserve">satisfaction score daily trend </t>
  </si>
  <si>
    <t>admitted</t>
  </si>
  <si>
    <t>not admitted</t>
  </si>
  <si>
    <t>Count of Patient Admission Flag</t>
  </si>
  <si>
    <t>Count of Patient Admission Flag2</t>
  </si>
  <si>
    <t xml:space="preserve">Admission status </t>
  </si>
  <si>
    <t>No.of Patient</t>
  </si>
  <si>
    <t>% Status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</si>
  <si>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</si>
  <si>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</si>
  <si>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</si>
  <si>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</si>
  <si>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</si>
  <si>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</si>
  <si>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</si>
  <si>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</si>
  <si>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</si>
  <si>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</si>
  <si>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</si>
  <si>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</si>
  <si>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</si>
  <si>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</si>
  <si>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</si>
  <si>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</si>
  <si>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</si>
  <si>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</si>
  <si>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</si>
  <si>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</si>
  <si>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</si>
  <si>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</si>
  <si>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</si>
  <si>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</si>
  <si>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</si>
  <si>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</si>
  <si>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</si>
  <si>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</si>
  <si>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</si>
  <si>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</si>
  <si>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</si>
  <si>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</si>
  <si>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</si>
  <si>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</si>
  <si>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</si>
  <si>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</si>
  <si>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</si>
  <si>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</si>
  <si>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</si>
  <si>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</si>
  <si>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</si>
  <si>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</si>
  <si>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</si>
  <si>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</si>
  <si>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</si>
  <si>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</si>
  <si>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</si>
  <si>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</si>
  <si>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</si>
  <si>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</si>
  <si>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</si>
  <si>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</si>
  <si>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</si>
  <si>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</si>
  <si>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</si>
  <si>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patient attend status</t>
  </si>
  <si>
    <t>gender wise analyis</t>
  </si>
  <si>
    <t>department wise analysis</t>
  </si>
  <si>
    <t>no.of patients by age grouop</t>
  </si>
  <si>
    <t>admission status</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</si>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</sst>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5" tint="0.79998168889431442"/>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0" xfId="0" applyNumberFormat="1"/>
    <xf numFmtId="10" fontId="0" fillId="0" borderId="0" xfId="0" applyNumberFormat="1"/>
    <xf numFmtId="0" fontId="0" fillId="4" borderId="1" xfId="0" applyFill="1" applyBorder="1" applyAlignment="1">
      <alignment horizontal="left"/>
    </xf>
    <xf numFmtId="0" fontId="0" fillId="4" borderId="1" xfId="0" applyFill="1" applyBorder="1"/>
    <xf numFmtId="0" fontId="0" fillId="3" borderId="1" xfId="0" applyFill="1" applyBorder="1"/>
    <xf numFmtId="10" fontId="0" fillId="3" borderId="1" xfId="0" applyNumberFormat="1" applyFill="1" applyBorder="1"/>
    <xf numFmtId="0" fontId="0" fillId="0" borderId="0" xfId="0" applyNumberFormat="1" applyFont="1"/>
    <xf numFmtId="2" fontId="0" fillId="0" borderId="0" xfId="0" applyNumberFormat="1" applyFont="1"/>
  </cellXfs>
  <cellStyles count="1">
    <cellStyle name="Normal" xfId="0" builtinId="0"/>
  </cellStyles>
  <dxfs count="78">
    <dxf>
      <numFmt numFmtId="2" formatCode="0.00"/>
    </dxf>
    <dxf>
      <numFmt numFmtId="2" formatCode="0.00"/>
    </dxf>
    <dxf>
      <numFmt numFmtId="2" formatCode="0.00"/>
    </dxf>
    <dxf>
      <numFmt numFmtId="2" formatCode="0.00"/>
    </dxf>
    <dxf>
      <font>
        <sz val="11"/>
      </font>
    </dxf>
    <dxf>
      <font>
        <sz val="11"/>
      </font>
    </dxf>
    <dxf>
      <numFmt numFmtId="2" formatCode="0.00"/>
    </dxf>
    <dxf>
      <numFmt numFmtId="2" formatCode="0.00"/>
    </dxf>
    <dxf>
      <numFmt numFmtId="2" formatCode="0.00"/>
    </dxf>
    <dxf>
      <numFmt numFmtId="2" formatCode="0.00"/>
    </dxf>
    <dxf>
      <font>
        <sz val="11"/>
      </font>
    </dxf>
    <dxf>
      <font>
        <sz val="11"/>
      </font>
    </dxf>
    <dxf>
      <numFmt numFmtId="2" formatCode="0.00"/>
    </dxf>
    <dxf>
      <numFmt numFmtId="2" formatCode="0.00"/>
    </dxf>
    <dxf>
      <numFmt numFmtId="2" formatCode="0.00"/>
    </dxf>
    <dxf>
      <numFmt numFmtId="2" formatCode="0.00"/>
    </dxf>
    <dxf>
      <font>
        <sz val="11"/>
      </font>
    </dxf>
    <dxf>
      <font>
        <sz val="11"/>
      </font>
    </dxf>
    <dxf>
      <numFmt numFmtId="2" formatCode="0.00"/>
    </dxf>
    <dxf>
      <numFmt numFmtId="2" formatCode="0.00"/>
    </dxf>
    <dxf>
      <numFmt numFmtId="2" formatCode="0.00"/>
    </dxf>
    <dxf>
      <numFmt numFmtId="2" formatCode="0.00"/>
    </dxf>
    <dxf>
      <font>
        <sz val="11"/>
      </font>
    </dxf>
    <dxf>
      <font>
        <sz val="11"/>
      </font>
    </dxf>
    <dxf>
      <numFmt numFmtId="2" formatCode="0.00"/>
    </dxf>
    <dxf>
      <numFmt numFmtId="2" formatCode="0.00"/>
    </dxf>
    <dxf>
      <numFmt numFmtId="2" formatCode="0.00"/>
    </dxf>
    <dxf>
      <numFmt numFmtId="2" formatCode="0.00"/>
    </dxf>
    <dxf>
      <font>
        <sz val="11"/>
      </font>
    </dxf>
    <dxf>
      <font>
        <sz val="11"/>
      </font>
    </dxf>
    <dxf>
      <numFmt numFmtId="2" formatCode="0.00"/>
    </dxf>
    <dxf>
      <numFmt numFmtId="2" formatCode="0.00"/>
    </dxf>
    <dxf>
      <numFmt numFmtId="2" formatCode="0.00"/>
    </dxf>
    <dxf>
      <numFmt numFmtId="2" formatCode="0.00"/>
    </dxf>
    <dxf>
      <font>
        <sz val="11"/>
      </font>
    </dxf>
    <dxf>
      <font>
        <sz val="11"/>
      </font>
    </dxf>
    <dxf>
      <numFmt numFmtId="2" formatCode="0.00"/>
    </dxf>
    <dxf>
      <numFmt numFmtId="2" formatCode="0.00"/>
    </dxf>
    <dxf>
      <numFmt numFmtId="2" formatCode="0.00"/>
    </dxf>
    <dxf>
      <numFmt numFmtId="2" formatCode="0.00"/>
    </dxf>
    <dxf>
      <font>
        <sz val="11"/>
      </font>
    </dxf>
    <dxf>
      <font>
        <sz val="11"/>
      </font>
    </dxf>
    <dxf>
      <numFmt numFmtId="2" formatCode="0.00"/>
    </dxf>
    <dxf>
      <numFmt numFmtId="2" formatCode="0.00"/>
    </dxf>
    <dxf>
      <numFmt numFmtId="2" formatCode="0.00"/>
    </dxf>
    <dxf>
      <numFmt numFmtId="2" formatCode="0.00"/>
    </dxf>
    <dxf>
      <font>
        <sz val="11"/>
      </font>
    </dxf>
    <dxf>
      <font>
        <sz val="11"/>
      </font>
    </dxf>
    <dxf>
      <numFmt numFmtId="2" formatCode="0.00"/>
    </dxf>
    <dxf>
      <numFmt numFmtId="2" formatCode="0.00"/>
    </dxf>
    <dxf>
      <numFmt numFmtId="2" formatCode="0.00"/>
    </dxf>
    <dxf>
      <numFmt numFmtId="2" formatCode="0.00"/>
    </dxf>
    <dxf>
      <font>
        <sz val="11"/>
      </font>
    </dxf>
    <dxf>
      <font>
        <sz val="11"/>
      </font>
    </dxf>
    <dxf>
      <numFmt numFmtId="2" formatCode="0.00"/>
    </dxf>
    <dxf>
      <numFmt numFmtId="2" formatCode="0.00"/>
    </dxf>
    <dxf>
      <numFmt numFmtId="2" formatCode="0.00"/>
    </dxf>
    <dxf>
      <numFmt numFmtId="2" formatCode="0.00"/>
    </dxf>
    <dxf>
      <font>
        <sz val="11"/>
      </font>
    </dxf>
    <dxf>
      <font>
        <sz val="11"/>
      </font>
    </dxf>
    <dxf>
      <numFmt numFmtId="2" formatCode="0.00"/>
    </dxf>
    <dxf>
      <numFmt numFmtId="2" formatCode="0.00"/>
    </dxf>
    <dxf>
      <numFmt numFmtId="2" formatCode="0.00"/>
    </dxf>
    <dxf>
      <numFmt numFmtId="2" formatCode="0.00"/>
    </dxf>
    <dxf>
      <font>
        <sz val="11"/>
      </font>
    </dxf>
    <dxf>
      <font>
        <sz val="11"/>
      </font>
    </dxf>
    <dxf>
      <numFmt numFmtId="2" formatCode="0.00"/>
    </dxf>
    <dxf>
      <numFmt numFmtId="2" formatCode="0.00"/>
    </dxf>
    <dxf>
      <numFmt numFmtId="2" formatCode="0.00"/>
    </dxf>
    <dxf>
      <numFmt numFmtId="2" formatCode="0.00"/>
    </dxf>
    <dxf>
      <font>
        <sz val="11"/>
      </font>
    </dxf>
    <dxf>
      <font>
        <sz val="11"/>
      </font>
    </dxf>
    <dxf>
      <numFmt numFmtId="2" formatCode="0.00"/>
    </dxf>
    <dxf>
      <numFmt numFmtId="2" formatCode="0.00"/>
    </dxf>
    <dxf>
      <font>
        <sz val="11"/>
      </font>
    </dxf>
    <dxf>
      <numFmt numFmtId="2" formatCode="0.00"/>
    </dxf>
    <dxf>
      <font>
        <sz val="11"/>
      </font>
    </dxf>
    <dxf>
      <numFmt numFmtId="2" formatCode="0.00"/>
    </dxf>
  </dxfs>
  <tableStyles count="1" defaultTableStyle="TableStyleMedium2" defaultPivotStyle="PivotStyleLight16">
    <tableStyle name="mystyle" pivot="0" table="0" count="0" xr9:uid="{822F78C2-37ED-41B4-8217-B676E5D5115C}"/>
  </tableStyles>
  <extLst>
    <ext xmlns:x14="http://schemas.microsoft.com/office/spreadsheetml/2009/9/main" uri="{EB79DEF2-80B8-43e5-95BD-54CBDDF9020C}">
      <x14:slicerStyles defaultSlicerStyle="SlicerStyleLight1">
        <x14:slicerStyle name="my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[excelfullfledged_project.xlsx]Pivot Report!PivotTable8</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Report'!$N$3</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Report'!$M$4:$M$35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Report'!$N$4:$N$35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5D28-4D78-8CEC-B591A23EBCFE}"/>
            </c:ext>
          </c:extLst>
        </c:ser>
        <c:dLbls>
          <c:showLegendKey val="0"/>
          <c:showVal val="1"/>
          <c:showCatName val="0"/>
          <c:showSerName val="0"/>
          <c:showPercent val="0"/>
          <c:showBubbleSize val="0"/>
        </c:dLbls>
        <c:axId val="1976083775"/>
        <c:axId val="1976083295"/>
      </c:areaChart>
      <c:catAx>
        <c:axId val="1976083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6083295"/>
        <c:crosses val="autoZero"/>
        <c:auto val="1"/>
        <c:lblAlgn val="ctr"/>
        <c:lblOffset val="100"/>
        <c:noMultiLvlLbl val="0"/>
      </c:catAx>
      <c:valAx>
        <c:axId val="197608329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76083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[excelfullfledged_project.xlsx]Pivot Report!PivotTable7</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Report'!$I$3</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Report'!$H$4:$H$35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Report'!$I$4:$I$35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3843-4382-BB9E-A9054078435A}"/>
            </c:ext>
          </c:extLst>
        </c:ser>
        <c:dLbls>
          <c:showLegendKey val="0"/>
          <c:showVal val="1"/>
          <c:showCatName val="0"/>
          <c:showSerName val="0"/>
          <c:showPercent val="0"/>
          <c:showBubbleSize val="0"/>
        </c:dLbls>
        <c:axId val="298839103"/>
        <c:axId val="298837663"/>
      </c:areaChart>
      <c:catAx>
        <c:axId val="2988391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8837663"/>
        <c:crosses val="autoZero"/>
        <c:auto val="1"/>
        <c:lblAlgn val="ctr"/>
        <c:lblOffset val="100"/>
        <c:noMultiLvlLbl val="0"/>
      </c:catAx>
      <c:valAx>
        <c:axId val="29883766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988391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[excelfullfledged_project.xlsx]Pivot Report!PivotTable6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no.of</a:t>
            </a:r>
            <a:r>
              <a:rPr lang="en-US" baseline="0"/>
              <a:t> patient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Report'!$D$3</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Report'!$C$4:$C$35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Report'!$D$4:$D$35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677A-4388-93AC-C70F5F998D1E}"/>
            </c:ext>
          </c:extLst>
        </c:ser>
        <c:dLbls>
          <c:showLegendKey val="0"/>
          <c:showVal val="1"/>
          <c:showCatName val="0"/>
          <c:showSerName val="0"/>
          <c:showPercent val="0"/>
          <c:showBubbleSize val="0"/>
        </c:dLbls>
        <c:axId val="316242432"/>
        <c:axId val="316252992"/>
      </c:areaChart>
      <c:catAx>
        <c:axId val="3162424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16252992"/>
        <c:crosses val="autoZero"/>
        <c:auto val="1"/>
        <c:lblAlgn val="ctr"/>
        <c:lblOffset val="100"/>
        <c:noMultiLvlLbl val="0"/>
      </c:catAx>
      <c:valAx>
        <c:axId val="31625299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162424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[excelfullfledged_project.xlsx]Pivot Report!PivotTable6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038913614059113E-2"/>
          <c:y val="2.4717847769028856E-2"/>
          <c:w val="0.93888888888888888"/>
          <c:h val="0.97357611548556444"/>
        </c:manualLayout>
      </c:layout>
      <c:areaChart>
        <c:grouping val="standard"/>
        <c:varyColors val="0"/>
        <c:ser>
          <c:idx val="0"/>
          <c:order val="0"/>
          <c:tx>
            <c:strRef>
              <c:f>'Pivot Report'!$D$3</c:f>
              <c:strCache>
                <c:ptCount val="1"/>
                <c:pt idx="0">
                  <c:v>Total</c:v>
                </c:pt>
              </c:strCache>
            </c:strRef>
          </c:tx>
          <c:spPr>
            <a:solidFill>
              <a:schemeClr val="accent1"/>
            </a:solidFill>
            <a:ln w="25400">
              <a:noFill/>
            </a:ln>
            <a:effectLst/>
          </c:spPr>
          <c:cat>
            <c:strRef>
              <c:f>'Pivot Report'!$C$4:$C$35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Report'!$D$4:$D$35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68E4-4923-A1D9-986191CD6FE4}"/>
            </c:ext>
          </c:extLst>
        </c:ser>
        <c:dLbls>
          <c:showLegendKey val="0"/>
          <c:showVal val="0"/>
          <c:showCatName val="0"/>
          <c:showSerName val="0"/>
          <c:showPercent val="0"/>
          <c:showBubbleSize val="0"/>
        </c:dLbls>
        <c:axId val="2045500591"/>
        <c:axId val="2045494831"/>
      </c:areaChart>
      <c:catAx>
        <c:axId val="2045500591"/>
        <c:scaling>
          <c:orientation val="minMax"/>
        </c:scaling>
        <c:delete val="1"/>
        <c:axPos val="b"/>
        <c:numFmt formatCode="General" sourceLinked="1"/>
        <c:majorTickMark val="out"/>
        <c:minorTickMark val="none"/>
        <c:tickLblPos val="nextTo"/>
        <c:crossAx val="2045494831"/>
        <c:crosses val="autoZero"/>
        <c:auto val="1"/>
        <c:lblAlgn val="ctr"/>
        <c:lblOffset val="100"/>
        <c:noMultiLvlLbl val="0"/>
      </c:catAx>
      <c:valAx>
        <c:axId val="2045494831"/>
        <c:scaling>
          <c:orientation val="minMax"/>
        </c:scaling>
        <c:delete val="1"/>
        <c:axPos val="l"/>
        <c:numFmt formatCode="General" sourceLinked="1"/>
        <c:majorTickMark val="out"/>
        <c:minorTickMark val="none"/>
        <c:tickLblPos val="nextTo"/>
        <c:crossAx val="20455005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[excelfullfledged_project.xlsx]Pivot Report!PivotTable7</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2051282051282054"/>
          <c:w val="0.99999999999999989"/>
          <c:h val="0.67948717948717952"/>
        </c:manualLayout>
      </c:layout>
      <c:areaChart>
        <c:grouping val="standard"/>
        <c:varyColors val="0"/>
        <c:ser>
          <c:idx val="0"/>
          <c:order val="0"/>
          <c:tx>
            <c:strRef>
              <c:f>'Pivot Report'!$I$3</c:f>
              <c:strCache>
                <c:ptCount val="1"/>
                <c:pt idx="0">
                  <c:v>Total</c:v>
                </c:pt>
              </c:strCache>
            </c:strRef>
          </c:tx>
          <c:spPr>
            <a:solidFill>
              <a:schemeClr val="accent1"/>
            </a:solidFill>
            <a:ln w="25400">
              <a:noFill/>
            </a:ln>
            <a:effectLst/>
          </c:spPr>
          <c:cat>
            <c:strRef>
              <c:f>'Pivot Report'!$H$4:$H$35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Report'!$I$4:$I$35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01C2-4B80-A4A8-AA8588C7D810}"/>
            </c:ext>
          </c:extLst>
        </c:ser>
        <c:dLbls>
          <c:showLegendKey val="0"/>
          <c:showVal val="0"/>
          <c:showCatName val="0"/>
          <c:showSerName val="0"/>
          <c:showPercent val="0"/>
          <c:showBubbleSize val="0"/>
        </c:dLbls>
        <c:axId val="1807506111"/>
        <c:axId val="1807506591"/>
      </c:areaChart>
      <c:catAx>
        <c:axId val="1807506111"/>
        <c:scaling>
          <c:orientation val="minMax"/>
        </c:scaling>
        <c:delete val="1"/>
        <c:axPos val="b"/>
        <c:numFmt formatCode="General" sourceLinked="1"/>
        <c:majorTickMark val="out"/>
        <c:minorTickMark val="none"/>
        <c:tickLblPos val="nextTo"/>
        <c:crossAx val="1807506591"/>
        <c:crosses val="autoZero"/>
        <c:auto val="1"/>
        <c:lblAlgn val="ctr"/>
        <c:lblOffset val="100"/>
        <c:noMultiLvlLbl val="0"/>
      </c:catAx>
      <c:valAx>
        <c:axId val="1807506591"/>
        <c:scaling>
          <c:orientation val="minMax"/>
        </c:scaling>
        <c:delete val="1"/>
        <c:axPos val="l"/>
        <c:numFmt formatCode="0.00" sourceLinked="1"/>
        <c:majorTickMark val="none"/>
        <c:minorTickMark val="none"/>
        <c:tickLblPos val="nextTo"/>
        <c:crossAx val="1807506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[excelfullfledged_project.xlsx]Pivot Report!PivotTable8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223635507100071"/>
          <c:w val="1"/>
          <c:h val="0.86776364492899927"/>
        </c:manualLayout>
      </c:layout>
      <c:areaChart>
        <c:grouping val="standard"/>
        <c:varyColors val="0"/>
        <c:ser>
          <c:idx val="0"/>
          <c:order val="0"/>
          <c:tx>
            <c:strRef>
              <c:f>'Pivot Report'!$N$3</c:f>
              <c:strCache>
                <c:ptCount val="1"/>
                <c:pt idx="0">
                  <c:v>Total</c:v>
                </c:pt>
              </c:strCache>
            </c:strRef>
          </c:tx>
          <c:spPr>
            <a:solidFill>
              <a:schemeClr val="accent1"/>
            </a:solidFill>
            <a:ln w="25400">
              <a:noFill/>
            </a:ln>
            <a:effectLst/>
          </c:spPr>
          <c:cat>
            <c:strRef>
              <c:f>'Pivot Report'!$M$4:$M$35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Report'!$N$4:$N$35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4333-4E25-9029-13E6550D6BEC}"/>
            </c:ext>
          </c:extLst>
        </c:ser>
        <c:dLbls>
          <c:showLegendKey val="0"/>
          <c:showVal val="0"/>
          <c:showCatName val="0"/>
          <c:showSerName val="0"/>
          <c:showPercent val="0"/>
          <c:showBubbleSize val="0"/>
        </c:dLbls>
        <c:axId val="1976083775"/>
        <c:axId val="1976083295"/>
      </c:areaChart>
      <c:catAx>
        <c:axId val="1976083775"/>
        <c:scaling>
          <c:orientation val="minMax"/>
        </c:scaling>
        <c:delete val="1"/>
        <c:axPos val="b"/>
        <c:numFmt formatCode="General" sourceLinked="1"/>
        <c:majorTickMark val="out"/>
        <c:minorTickMark val="none"/>
        <c:tickLblPos val="nextTo"/>
        <c:crossAx val="1976083295"/>
        <c:crosses val="autoZero"/>
        <c:auto val="1"/>
        <c:lblAlgn val="ctr"/>
        <c:lblOffset val="100"/>
        <c:noMultiLvlLbl val="0"/>
      </c:catAx>
      <c:valAx>
        <c:axId val="1976083295"/>
        <c:scaling>
          <c:orientation val="minMax"/>
        </c:scaling>
        <c:delete val="1"/>
        <c:axPos val="l"/>
        <c:numFmt formatCode="0.00" sourceLinked="1"/>
        <c:majorTickMark val="none"/>
        <c:minorTickMark val="none"/>
        <c:tickLblPos val="nextTo"/>
        <c:crossAx val="1976083775"/>
        <c:crosses val="autoZero"/>
        <c:crossBetween val="midCat"/>
      </c:valAx>
      <c:spPr>
        <a:solidFill>
          <a:schemeClr val="bg2"/>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[excelfullfledged_project.xlsx]Pivot Report!PivotTable9</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366118823675721E-2"/>
          <c:y val="0.30744336569579289"/>
          <c:w val="0.94316505324614974"/>
          <c:h val="0.57928802588996753"/>
        </c:manualLayout>
      </c:layout>
      <c:barChart>
        <c:barDir val="bar"/>
        <c:grouping val="clustered"/>
        <c:varyColors val="0"/>
        <c:ser>
          <c:idx val="0"/>
          <c:order val="0"/>
          <c:tx>
            <c:strRef>
              <c:f>'Pivot Report'!$B$36</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Report'!$A$37:$A$39</c:f>
              <c:strCache>
                <c:ptCount val="2"/>
                <c:pt idx="0">
                  <c:v>admitted</c:v>
                </c:pt>
                <c:pt idx="1">
                  <c:v>not admitted</c:v>
                </c:pt>
              </c:strCache>
            </c:strRef>
          </c:cat>
          <c:val>
            <c:numRef>
              <c:f>'Pivot Report'!$B$37:$B$39</c:f>
              <c:numCache>
                <c:formatCode>General</c:formatCode>
                <c:ptCount val="2"/>
                <c:pt idx="0">
                  <c:v>269</c:v>
                </c:pt>
                <c:pt idx="1">
                  <c:v>244</c:v>
                </c:pt>
              </c:numCache>
            </c:numRef>
          </c:val>
          <c:extLst>
            <c:ext xmlns:c16="http://schemas.microsoft.com/office/drawing/2014/chart" uri="{C3380CC4-5D6E-409C-BE32-E72D297353CC}">
              <c16:uniqueId val="{00000005-628A-4BDA-9663-F9681D282D7B}"/>
            </c:ext>
          </c:extLst>
        </c:ser>
        <c:ser>
          <c:idx val="1"/>
          <c:order val="1"/>
          <c:tx>
            <c:strRef>
              <c:f>'Pivot Report'!$C$36</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Report'!$A$37:$A$39</c:f>
              <c:strCache>
                <c:ptCount val="2"/>
                <c:pt idx="0">
                  <c:v>admitted</c:v>
                </c:pt>
                <c:pt idx="1">
                  <c:v>not admitted</c:v>
                </c:pt>
              </c:strCache>
            </c:strRef>
          </c:cat>
          <c:val>
            <c:numRef>
              <c:f>'Pivot Report'!$C$37:$C$39</c:f>
              <c:numCache>
                <c:formatCode>0.00%</c:formatCode>
                <c:ptCount val="2"/>
                <c:pt idx="0">
                  <c:v>0.52436647173489281</c:v>
                </c:pt>
                <c:pt idx="1">
                  <c:v>0.47563352826510719</c:v>
                </c:pt>
              </c:numCache>
            </c:numRef>
          </c:val>
          <c:extLst>
            <c:ext xmlns:c16="http://schemas.microsoft.com/office/drawing/2014/chart" uri="{C3380CC4-5D6E-409C-BE32-E72D297353CC}">
              <c16:uniqueId val="{00000006-628A-4BDA-9663-F9681D282D7B}"/>
            </c:ext>
          </c:extLst>
        </c:ser>
        <c:dLbls>
          <c:dLblPos val="outEnd"/>
          <c:showLegendKey val="0"/>
          <c:showVal val="1"/>
          <c:showCatName val="0"/>
          <c:showSerName val="0"/>
          <c:showPercent val="0"/>
          <c:showBubbleSize val="0"/>
        </c:dLbls>
        <c:gapWidth val="182"/>
        <c:axId val="1523224784"/>
        <c:axId val="1523228144"/>
      </c:barChart>
      <c:catAx>
        <c:axId val="1523224784"/>
        <c:scaling>
          <c:orientation val="minMax"/>
        </c:scaling>
        <c:delete val="1"/>
        <c:axPos val="l"/>
        <c:numFmt formatCode="General" sourceLinked="1"/>
        <c:majorTickMark val="out"/>
        <c:minorTickMark val="none"/>
        <c:tickLblPos val="nextTo"/>
        <c:crossAx val="1523228144"/>
        <c:crosses val="autoZero"/>
        <c:auto val="1"/>
        <c:lblAlgn val="ctr"/>
        <c:lblOffset val="100"/>
        <c:noMultiLvlLbl val="0"/>
      </c:catAx>
      <c:valAx>
        <c:axId val="1523228144"/>
        <c:scaling>
          <c:orientation val="minMax"/>
        </c:scaling>
        <c:delete val="1"/>
        <c:axPos val="b"/>
        <c:numFmt formatCode="General" sourceLinked="1"/>
        <c:majorTickMark val="out"/>
        <c:minorTickMark val="none"/>
        <c:tickLblPos val="nextTo"/>
        <c:crossAx val="152322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[excelfullfledged_project.xlsx]Pivot Report!PivotTable10</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Report'!$A$46:$A$54</c:f>
              <c:strCache>
                <c:ptCount val="8"/>
                <c:pt idx="0">
                  <c:v>0-09</c:v>
                </c:pt>
                <c:pt idx="1">
                  <c:v>10-19</c:v>
                </c:pt>
                <c:pt idx="2">
                  <c:v>20-29</c:v>
                </c:pt>
                <c:pt idx="3">
                  <c:v>30-39</c:v>
                </c:pt>
                <c:pt idx="4">
                  <c:v>40-49</c:v>
                </c:pt>
                <c:pt idx="5">
                  <c:v>50-59</c:v>
                </c:pt>
                <c:pt idx="6">
                  <c:v>60-69</c:v>
                </c:pt>
                <c:pt idx="7">
                  <c:v>70-79</c:v>
                </c:pt>
              </c:strCache>
            </c:strRef>
          </c:cat>
          <c:val>
            <c:numRef>
              <c:f>'Pivot Report'!$B$46:$B$54</c:f>
              <c:numCache>
                <c:formatCode>General</c:formatCode>
                <c:ptCount val="8"/>
                <c:pt idx="0">
                  <c:v>76</c:v>
                </c:pt>
                <c:pt idx="1">
                  <c:v>69</c:v>
                </c:pt>
                <c:pt idx="2">
                  <c:v>64</c:v>
                </c:pt>
                <c:pt idx="3">
                  <c:v>59</c:v>
                </c:pt>
                <c:pt idx="4">
                  <c:v>58</c:v>
                </c:pt>
                <c:pt idx="5">
                  <c:v>66</c:v>
                </c:pt>
                <c:pt idx="6">
                  <c:v>99</c:v>
                </c:pt>
                <c:pt idx="7">
                  <c:v>22</c:v>
                </c:pt>
              </c:numCache>
            </c:numRef>
          </c:val>
          <c:extLst>
            <c:ext xmlns:c16="http://schemas.microsoft.com/office/drawing/2014/chart" uri="{C3380CC4-5D6E-409C-BE32-E72D297353CC}">
              <c16:uniqueId val="{00000003-DD55-48B9-B250-E99F60EB4495}"/>
            </c:ext>
          </c:extLst>
        </c:ser>
        <c:dLbls>
          <c:dLblPos val="outEnd"/>
          <c:showLegendKey val="0"/>
          <c:showVal val="1"/>
          <c:showCatName val="0"/>
          <c:showSerName val="0"/>
          <c:showPercent val="0"/>
          <c:showBubbleSize val="0"/>
        </c:dLbls>
        <c:gapWidth val="219"/>
        <c:overlap val="-27"/>
        <c:axId val="213428720"/>
        <c:axId val="213435920"/>
      </c:barChart>
      <c:catAx>
        <c:axId val="21342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35920"/>
        <c:crosses val="autoZero"/>
        <c:auto val="1"/>
        <c:lblAlgn val="ctr"/>
        <c:lblOffset val="100"/>
        <c:noMultiLvlLbl val="0"/>
      </c:catAx>
      <c:valAx>
        <c:axId val="213435920"/>
        <c:scaling>
          <c:orientation val="minMax"/>
        </c:scaling>
        <c:delete val="1"/>
        <c:axPos val="l"/>
        <c:numFmt formatCode="General" sourceLinked="1"/>
        <c:majorTickMark val="none"/>
        <c:minorTickMark val="none"/>
        <c:tickLblPos val="nextTo"/>
        <c:crossAx val="21342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[excelfullfledged_project.xlsx]Pivot Report!PivotTable11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8136360554490594"/>
          <c:y val="0.14251622811508138"/>
          <c:w val="0.56962837233957309"/>
          <c:h val="0.60557182348725302"/>
        </c:manualLayout>
      </c:layout>
      <c:pieChart>
        <c:varyColors val="1"/>
        <c:ser>
          <c:idx val="0"/>
          <c:order val="0"/>
          <c:tx>
            <c:strRef>
              <c:f>'Pivot Report'!$E$45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Report'!$D$46:$D$48</c:f>
              <c:strCache>
                <c:ptCount val="2"/>
                <c:pt idx="0">
                  <c:v>Delay</c:v>
                </c:pt>
                <c:pt idx="1">
                  <c:v>OnTime</c:v>
                </c:pt>
              </c:strCache>
            </c:strRef>
          </c:cat>
          <c:val>
            <c:numRef>
              <c:f>'Pivot Report'!$E$46:$E$48</c:f>
              <c:numCache>
                <c:formatCode>0.00%</c:formatCode>
                <c:ptCount val="2"/>
                <c:pt idx="0">
                  <c:v>0.61598440545808963</c:v>
                </c:pt>
                <c:pt idx="1">
                  <c:v>0.38401559454191031</c:v>
                </c:pt>
              </c:numCache>
            </c:numRef>
          </c:val>
          <c:extLst>
            <c:ext xmlns:c16="http://schemas.microsoft.com/office/drawing/2014/chart" uri="{C3380CC4-5D6E-409C-BE32-E72D297353CC}">
              <c16:uniqueId val="{00000007-FFB3-4A6C-A1CA-146888516D2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379565794907513"/>
          <c:y val="2.4297737278591171E-2"/>
          <c:w val="0.69394903762029747"/>
          <c:h val="0.12847331583552055"/>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[excelfullfledged_project.xlsx]Pivot Report!PivotTable12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9426674753144302"/>
          <c:y val="0.13157097504110885"/>
          <c:w val="0.57588623478534673"/>
          <c:h val="0.64761357833637578"/>
        </c:manualLayout>
      </c:layout>
      <c:doughnutChart>
        <c:varyColors val="1"/>
        <c:ser>
          <c:idx val="0"/>
          <c:order val="0"/>
          <c:tx>
            <c:strRef>
              <c:f>'Pivot Report'!$I$44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Report'!$H$45:$H$47</c:f>
              <c:strCache>
                <c:ptCount val="2"/>
                <c:pt idx="0">
                  <c:v>Female</c:v>
                </c:pt>
                <c:pt idx="1">
                  <c:v>Male</c:v>
                </c:pt>
              </c:strCache>
            </c:strRef>
          </c:cat>
          <c:val>
            <c:numRef>
              <c:f>'Pivot Report'!$I$45:$I$47</c:f>
              <c:numCache>
                <c:formatCode>0.00%</c:formatCode>
                <c:ptCount val="2"/>
                <c:pt idx="0">
                  <c:v>0.46978557504873292</c:v>
                </c:pt>
                <c:pt idx="1">
                  <c:v>0.53021442495126703</c:v>
                </c:pt>
              </c:numCache>
            </c:numRef>
          </c:val>
          <c:extLst>
            <c:ext xmlns:c16="http://schemas.microsoft.com/office/drawing/2014/chart" uri="{C3380CC4-5D6E-409C-BE32-E72D297353CC}">
              <c16:uniqueId val="{00000007-B0E8-422A-9C64-BF2B2301A8FC}"/>
            </c:ext>
          </c:extLst>
        </c:ser>
        <c:dLbls>
          <c:showLegendKey val="0"/>
          <c:showVal val="1"/>
          <c:showCatName val="0"/>
          <c:showSerName val="0"/>
          <c:showPercent val="0"/>
          <c:showBubbleSize val="0"/>
          <c:showLeaderLines val="1"/>
        </c:dLbls>
        <c:firstSliceAng val="0"/>
        <c:holeSize val="47"/>
      </c:doughnutChart>
      <c:spPr>
        <a:noFill/>
        <a:ln>
          <a:noFill/>
        </a:ln>
        <a:effectLst/>
      </c:spPr>
    </c:plotArea>
    <c:legend>
      <c:legendPos val="r"/>
      <c:layout>
        <c:manualLayout>
          <c:xMode val="edge"/>
          <c:yMode val="edge"/>
          <c:x val="9.3305452671861952E-2"/>
          <c:y val="4.8143816182131356E-3"/>
          <c:w val="0.75531173386662998"/>
          <c:h val="0.16733528740281056"/>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[excelfullfledged_project.xlsx]Pivot Report!PivotTable13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8898464888701"/>
          <c:y val="4.1566755759716328E-2"/>
          <c:w val="0.76312320202091888"/>
          <c:h val="0.88569142166078008"/>
        </c:manualLayout>
      </c:layout>
      <c:barChart>
        <c:barDir val="bar"/>
        <c:grouping val="clustered"/>
        <c:varyColors val="0"/>
        <c:ser>
          <c:idx val="0"/>
          <c:order val="0"/>
          <c:tx>
            <c:strRef>
              <c:f>'Pivot Report'!$D$50</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Report'!$C$51:$C$59</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Report'!$D$51:$D$59</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C708-4D6C-84C9-95359E9FC108}"/>
            </c:ext>
          </c:extLst>
        </c:ser>
        <c:dLbls>
          <c:dLblPos val="outEnd"/>
          <c:showLegendKey val="0"/>
          <c:showVal val="1"/>
          <c:showCatName val="0"/>
          <c:showSerName val="0"/>
          <c:showPercent val="0"/>
          <c:showBubbleSize val="0"/>
        </c:dLbls>
        <c:gapWidth val="62"/>
        <c:axId val="478753856"/>
        <c:axId val="478754336"/>
      </c:barChart>
      <c:catAx>
        <c:axId val="47875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754336"/>
        <c:crosses val="autoZero"/>
        <c:auto val="1"/>
        <c:lblAlgn val="ctr"/>
        <c:lblOffset val="100"/>
        <c:noMultiLvlLbl val="0"/>
      </c:catAx>
      <c:valAx>
        <c:axId val="478754336"/>
        <c:scaling>
          <c:orientation val="minMax"/>
        </c:scaling>
        <c:delete val="1"/>
        <c:axPos val="b"/>
        <c:numFmt formatCode="General" sourceLinked="1"/>
        <c:majorTickMark val="none"/>
        <c:minorTickMark val="none"/>
        <c:tickLblPos val="nextTo"/>
        <c:crossAx val="47875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xml"/><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3.xml"/><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hyperlink" Target="#'satisfaction score daily trend'!A1"/><Relationship Id="rId18" Type="http://schemas.openxmlformats.org/officeDocument/2006/relationships/chart" Target="../charts/chart9.xml"/><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chart" Target="../charts/chart5.xml"/><Relationship Id="rId17" Type="http://schemas.openxmlformats.org/officeDocument/2006/relationships/chart" Target="../charts/chart8.xml"/><Relationship Id="rId2" Type="http://schemas.openxmlformats.org/officeDocument/2006/relationships/image" Target="../media/image6.svg"/><Relationship Id="rId16" Type="http://schemas.openxmlformats.org/officeDocument/2006/relationships/image" Target="../media/image13.emf"/><Relationship Id="rId20" Type="http://schemas.openxmlformats.org/officeDocument/2006/relationships/chart" Target="../charts/chart11.xml"/><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hyperlink" Target="#'average wait time daily trend'!A1"/><Relationship Id="rId5" Type="http://schemas.openxmlformats.org/officeDocument/2006/relationships/image" Target="../media/image9.png"/><Relationship Id="rId15" Type="http://schemas.openxmlformats.org/officeDocument/2006/relationships/chart" Target="../charts/chart7.xml"/><Relationship Id="rId10" Type="http://schemas.openxmlformats.org/officeDocument/2006/relationships/chart" Target="../charts/chart4.xml"/><Relationship Id="rId19" Type="http://schemas.openxmlformats.org/officeDocument/2006/relationships/chart" Target="../charts/chart10.xml"/><Relationship Id="rId4" Type="http://schemas.openxmlformats.org/officeDocument/2006/relationships/image" Target="../media/image8.svg"/><Relationship Id="rId9" Type="http://schemas.openxmlformats.org/officeDocument/2006/relationships/hyperlink" Target="#'Daily er of no of patients'!A1"/><Relationship Id="rId14"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259080</xdr:colOff>
      <xdr:row>17</xdr:row>
      <xdr:rowOff>76200</xdr:rowOff>
    </xdr:to>
    <xdr:graphicFrame macro="">
      <xdr:nvGraphicFramePr>
        <xdr:cNvPr id="2" name="Chart 1">
          <a:extLst>
            <a:ext uri="{FF2B5EF4-FFF2-40B4-BE49-F238E27FC236}">
              <a16:creationId xmlns:a16="http://schemas.microsoft.com/office/drawing/2014/main" id="{BE2BD336-F00F-4995-8D94-B9A993CA6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548640</xdr:colOff>
      <xdr:row>0</xdr:row>
      <xdr:rowOff>0</xdr:rowOff>
    </xdr:from>
    <xdr:to>
      <xdr:col>18</xdr:col>
      <xdr:colOff>243840</xdr:colOff>
      <xdr:row>5</xdr:row>
      <xdr:rowOff>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05D486A9-7431-9A29-4920-2737C6F73F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302240" y="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457200</xdr:colOff>
      <xdr:row>19</xdr:row>
      <xdr:rowOff>137160</xdr:rowOff>
    </xdr:to>
    <xdr:graphicFrame macro="">
      <xdr:nvGraphicFramePr>
        <xdr:cNvPr id="2" name="Chart 1">
          <a:extLst>
            <a:ext uri="{FF2B5EF4-FFF2-40B4-BE49-F238E27FC236}">
              <a16:creationId xmlns:a16="http://schemas.microsoft.com/office/drawing/2014/main" id="{834782F0-EF9C-4A9F-8A90-DD94D90BC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0.89831</cdr:x>
      <cdr:y>0</cdr:y>
    </cdr:from>
    <cdr:to>
      <cdr:x>1</cdr:x>
      <cdr:y>0.25316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DCAC51C-C01A-8215-4F42-EE4D0DD7E53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077200" y="0"/>
          <a:ext cx="914400" cy="91440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60960</xdr:colOff>
      <xdr:row>0</xdr:row>
      <xdr:rowOff>45720</xdr:rowOff>
    </xdr:from>
    <xdr:to>
      <xdr:col>15</xdr:col>
      <xdr:colOff>274320</xdr:colOff>
      <xdr:row>18</xdr:row>
      <xdr:rowOff>60960</xdr:rowOff>
    </xdr:to>
    <xdr:graphicFrame macro="">
      <xdr:nvGraphicFramePr>
        <xdr:cNvPr id="2" name="Chart 1">
          <a:extLst>
            <a:ext uri="{FF2B5EF4-FFF2-40B4-BE49-F238E27FC236}">
              <a16:creationId xmlns:a16="http://schemas.microsoft.com/office/drawing/2014/main" id="{557B6D34-5241-44BE-B46C-E3CB0B49F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579120</xdr:colOff>
      <xdr:row>0</xdr:row>
      <xdr:rowOff>0</xdr:rowOff>
    </xdr:from>
    <xdr:to>
      <xdr:col>15</xdr:col>
      <xdr:colOff>274320</xdr:colOff>
      <xdr:row>5</xdr:row>
      <xdr:rowOff>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8CC88D81-FFB4-AF6E-D9D8-735F95E58AE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503920" y="0"/>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129540</xdr:colOff>
      <xdr:row>0</xdr:row>
      <xdr:rowOff>68580</xdr:rowOff>
    </xdr:from>
    <xdr:to>
      <xdr:col>9</xdr:col>
      <xdr:colOff>464820</xdr:colOff>
      <xdr:row>4</xdr:row>
      <xdr:rowOff>144780</xdr:rowOff>
    </xdr:to>
    <xdr:sp macro="" textlink="">
      <xdr:nvSpPr>
        <xdr:cNvPr id="2" name="Rectangle: Rounded Corners 1">
          <a:extLst>
            <a:ext uri="{FF2B5EF4-FFF2-40B4-BE49-F238E27FC236}">
              <a16:creationId xmlns:a16="http://schemas.microsoft.com/office/drawing/2014/main" id="{7961E748-8EFC-8022-763B-CA7C9F0D21DA}"/>
            </a:ext>
          </a:extLst>
        </xdr:cNvPr>
        <xdr:cNvSpPr/>
      </xdr:nvSpPr>
      <xdr:spPr>
        <a:xfrm>
          <a:off x="129540" y="68580"/>
          <a:ext cx="5821680" cy="807720"/>
        </a:xfrm>
        <a:prstGeom prst="roundRect">
          <a:avLst>
            <a:gd name="adj" fmla="val 13929"/>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45720</xdr:colOff>
      <xdr:row>0</xdr:row>
      <xdr:rowOff>76200</xdr:rowOff>
    </xdr:from>
    <xdr:to>
      <xdr:col>13</xdr:col>
      <xdr:colOff>426720</xdr:colOff>
      <xdr:row>5</xdr:row>
      <xdr:rowOff>0</xdr:rowOff>
    </xdr:to>
    <xdr:sp macro="" textlink="">
      <xdr:nvSpPr>
        <xdr:cNvPr id="3" name="Rectangle: Diagonal Corners Rounded 2">
          <a:extLst>
            <a:ext uri="{FF2B5EF4-FFF2-40B4-BE49-F238E27FC236}">
              <a16:creationId xmlns:a16="http://schemas.microsoft.com/office/drawing/2014/main" id="{20C376E2-280A-5D43-C7AD-2BEC65965740}"/>
            </a:ext>
          </a:extLst>
        </xdr:cNvPr>
        <xdr:cNvSpPr/>
      </xdr:nvSpPr>
      <xdr:spPr>
        <a:xfrm>
          <a:off x="6141720" y="76200"/>
          <a:ext cx="2209800" cy="838200"/>
        </a:xfrm>
        <a:prstGeom prst="round2DiagRect">
          <a:avLst>
            <a:gd name="adj1" fmla="val 24532"/>
            <a:gd name="adj2" fmla="val 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30480</xdr:colOff>
      <xdr:row>0</xdr:row>
      <xdr:rowOff>114300</xdr:rowOff>
    </xdr:from>
    <xdr:to>
      <xdr:col>18</xdr:col>
      <xdr:colOff>198120</xdr:colOff>
      <xdr:row>13</xdr:row>
      <xdr:rowOff>15240</xdr:rowOff>
    </xdr:to>
    <xdr:sp macro="" textlink="">
      <xdr:nvSpPr>
        <xdr:cNvPr id="4" name="Rectangle: Diagonal Corners Rounded 3">
          <a:extLst>
            <a:ext uri="{FF2B5EF4-FFF2-40B4-BE49-F238E27FC236}">
              <a16:creationId xmlns:a16="http://schemas.microsoft.com/office/drawing/2014/main" id="{2C44B4CE-782C-4F5C-2A12-B46550A4F5C6}"/>
            </a:ext>
          </a:extLst>
        </xdr:cNvPr>
        <xdr:cNvSpPr/>
      </xdr:nvSpPr>
      <xdr:spPr>
        <a:xfrm>
          <a:off x="8564880" y="114300"/>
          <a:ext cx="2606040" cy="2278380"/>
        </a:xfrm>
        <a:prstGeom prst="round2DiagRect">
          <a:avLst>
            <a:gd name="adj1" fmla="val 25204"/>
            <a:gd name="adj2" fmla="val 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381000</xdr:colOff>
      <xdr:row>0</xdr:row>
      <xdr:rowOff>83820</xdr:rowOff>
    </xdr:from>
    <xdr:to>
      <xdr:col>22</xdr:col>
      <xdr:colOff>388620</xdr:colOff>
      <xdr:row>13</xdr:row>
      <xdr:rowOff>53340</xdr:rowOff>
    </xdr:to>
    <xdr:sp macro="" textlink="">
      <xdr:nvSpPr>
        <xdr:cNvPr id="5" name="Rectangle: Diagonal Corners Snipped 4">
          <a:extLst>
            <a:ext uri="{FF2B5EF4-FFF2-40B4-BE49-F238E27FC236}">
              <a16:creationId xmlns:a16="http://schemas.microsoft.com/office/drawing/2014/main" id="{36442194-F529-AE64-5D2F-424BC5BEE576}"/>
            </a:ext>
          </a:extLst>
        </xdr:cNvPr>
        <xdr:cNvSpPr/>
      </xdr:nvSpPr>
      <xdr:spPr>
        <a:xfrm>
          <a:off x="11353800" y="83820"/>
          <a:ext cx="2446020" cy="2346960"/>
        </a:xfrm>
        <a:prstGeom prst="snip2DiagRect">
          <a:avLst>
            <a:gd name="adj1" fmla="val 0"/>
            <a:gd name="adj2" fmla="val 1244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5</xdr:row>
      <xdr:rowOff>15240</xdr:rowOff>
    </xdr:from>
    <xdr:to>
      <xdr:col>2</xdr:col>
      <xdr:colOff>190500</xdr:colOff>
      <xdr:row>28</xdr:row>
      <xdr:rowOff>114300</xdr:rowOff>
    </xdr:to>
    <xdr:sp macro="" textlink="">
      <xdr:nvSpPr>
        <xdr:cNvPr id="6" name="Rectangle: Rounded Corners 5">
          <a:extLst>
            <a:ext uri="{FF2B5EF4-FFF2-40B4-BE49-F238E27FC236}">
              <a16:creationId xmlns:a16="http://schemas.microsoft.com/office/drawing/2014/main" id="{DDA25838-ACC3-C7F9-7B23-BFE84B60BF51}"/>
            </a:ext>
          </a:extLst>
        </xdr:cNvPr>
        <xdr:cNvSpPr/>
      </xdr:nvSpPr>
      <xdr:spPr>
        <a:xfrm>
          <a:off x="137160" y="929640"/>
          <a:ext cx="1272540" cy="43053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304800</xdr:colOff>
      <xdr:row>16</xdr:row>
      <xdr:rowOff>175260</xdr:rowOff>
    </xdr:from>
    <xdr:to>
      <xdr:col>13</xdr:col>
      <xdr:colOff>502920</xdr:colOff>
      <xdr:row>28</xdr:row>
      <xdr:rowOff>76200</xdr:rowOff>
    </xdr:to>
    <xdr:sp macro="" textlink="">
      <xdr:nvSpPr>
        <xdr:cNvPr id="9" name="Rectangle: Diagonal Corners Rounded 8">
          <a:extLst>
            <a:ext uri="{FF2B5EF4-FFF2-40B4-BE49-F238E27FC236}">
              <a16:creationId xmlns:a16="http://schemas.microsoft.com/office/drawing/2014/main" id="{2D2BFFFB-967B-3721-A361-CC8CDC4A4D45}"/>
            </a:ext>
          </a:extLst>
        </xdr:cNvPr>
        <xdr:cNvSpPr/>
      </xdr:nvSpPr>
      <xdr:spPr>
        <a:xfrm>
          <a:off x="1524000" y="3101340"/>
          <a:ext cx="6903720" cy="2095500"/>
        </a:xfrm>
        <a:prstGeom prst="round2DiagRect">
          <a:avLst>
            <a:gd name="adj1" fmla="val 16667"/>
            <a:gd name="adj2" fmla="val 1964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381000</xdr:colOff>
      <xdr:row>5</xdr:row>
      <xdr:rowOff>78188</xdr:rowOff>
    </xdr:from>
    <xdr:to>
      <xdr:col>13</xdr:col>
      <xdr:colOff>312420</xdr:colOff>
      <xdr:row>12</xdr:row>
      <xdr:rowOff>17890</xdr:rowOff>
    </xdr:to>
    <xdr:grpSp>
      <xdr:nvGrpSpPr>
        <xdr:cNvPr id="12" name="Group 11">
          <a:extLst>
            <a:ext uri="{FF2B5EF4-FFF2-40B4-BE49-F238E27FC236}">
              <a16:creationId xmlns:a16="http://schemas.microsoft.com/office/drawing/2014/main" id="{391A65E4-7B1A-F60C-4E9F-D777E1172A23}"/>
            </a:ext>
          </a:extLst>
        </xdr:cNvPr>
        <xdr:cNvGrpSpPr/>
      </xdr:nvGrpSpPr>
      <xdr:grpSpPr>
        <a:xfrm>
          <a:off x="1596957" y="1010422"/>
          <a:ext cx="6619186" cy="1244830"/>
          <a:chOff x="1379220" y="876300"/>
          <a:chExt cx="6484620" cy="1219200"/>
        </a:xfrm>
      </xdr:grpSpPr>
      <xdr:sp macro="" textlink="">
        <xdr:nvSpPr>
          <xdr:cNvPr id="7" name="Rectangle: Diagonal Corners Rounded 6">
            <a:extLst>
              <a:ext uri="{FF2B5EF4-FFF2-40B4-BE49-F238E27FC236}">
                <a16:creationId xmlns:a16="http://schemas.microsoft.com/office/drawing/2014/main" id="{5783EB86-BD49-4BA8-A78C-67B0FFD6F351}"/>
              </a:ext>
            </a:extLst>
          </xdr:cNvPr>
          <xdr:cNvSpPr/>
        </xdr:nvSpPr>
        <xdr:spPr>
          <a:xfrm>
            <a:off x="1379220" y="876300"/>
            <a:ext cx="2004060" cy="1150620"/>
          </a:xfrm>
          <a:prstGeom prst="round2DiagRect">
            <a:avLst>
              <a:gd name="adj1" fmla="val 16667"/>
              <a:gd name="adj2" fmla="val 2119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Diagonal Corners Rounded 7">
            <a:extLst>
              <a:ext uri="{FF2B5EF4-FFF2-40B4-BE49-F238E27FC236}">
                <a16:creationId xmlns:a16="http://schemas.microsoft.com/office/drawing/2014/main" id="{1AC34908-6EAE-BBD5-D7D7-49FD314145A8}"/>
              </a:ext>
            </a:extLst>
          </xdr:cNvPr>
          <xdr:cNvSpPr/>
        </xdr:nvSpPr>
        <xdr:spPr>
          <a:xfrm>
            <a:off x="3604260" y="891540"/>
            <a:ext cx="2034540" cy="1173480"/>
          </a:xfrm>
          <a:prstGeom prst="round2DiagRect">
            <a:avLst>
              <a:gd name="adj1" fmla="val 16667"/>
              <a:gd name="adj2" fmla="val 1964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Diagonal Corners Rounded 9">
            <a:extLst>
              <a:ext uri="{FF2B5EF4-FFF2-40B4-BE49-F238E27FC236}">
                <a16:creationId xmlns:a16="http://schemas.microsoft.com/office/drawing/2014/main" id="{A3EBB61B-9B45-231D-EB11-E872B6D38E6A}"/>
              </a:ext>
            </a:extLst>
          </xdr:cNvPr>
          <xdr:cNvSpPr/>
        </xdr:nvSpPr>
        <xdr:spPr>
          <a:xfrm>
            <a:off x="5829300" y="922020"/>
            <a:ext cx="2034540" cy="1173480"/>
          </a:xfrm>
          <a:prstGeom prst="round2DiagRect">
            <a:avLst>
              <a:gd name="adj1" fmla="val 16667"/>
              <a:gd name="adj2" fmla="val 1964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14</xdr:col>
      <xdr:colOff>38100</xdr:colOff>
      <xdr:row>13</xdr:row>
      <xdr:rowOff>137160</xdr:rowOff>
    </xdr:from>
    <xdr:to>
      <xdr:col>22</xdr:col>
      <xdr:colOff>198120</xdr:colOff>
      <xdr:row>28</xdr:row>
      <xdr:rowOff>137160</xdr:rowOff>
    </xdr:to>
    <xdr:sp macro="" textlink="">
      <xdr:nvSpPr>
        <xdr:cNvPr id="11" name="Rectangle: Diagonal Corners Rounded 10">
          <a:extLst>
            <a:ext uri="{FF2B5EF4-FFF2-40B4-BE49-F238E27FC236}">
              <a16:creationId xmlns:a16="http://schemas.microsoft.com/office/drawing/2014/main" id="{A6F37CC6-02C7-CA0D-8993-FDF78963C20D}"/>
            </a:ext>
          </a:extLst>
        </xdr:cNvPr>
        <xdr:cNvSpPr/>
      </xdr:nvSpPr>
      <xdr:spPr>
        <a:xfrm>
          <a:off x="8572500" y="2514600"/>
          <a:ext cx="5036820" cy="2743200"/>
        </a:xfrm>
        <a:prstGeom prst="round2DiagRect">
          <a:avLst>
            <a:gd name="adj1" fmla="val 16667"/>
            <a:gd name="adj2" fmla="val 1964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396240</xdr:colOff>
      <xdr:row>12</xdr:row>
      <xdr:rowOff>114300</xdr:rowOff>
    </xdr:from>
    <xdr:to>
      <xdr:col>13</xdr:col>
      <xdr:colOff>350520</xdr:colOff>
      <xdr:row>16</xdr:row>
      <xdr:rowOff>114300</xdr:rowOff>
    </xdr:to>
    <xdr:sp macro="" textlink="">
      <xdr:nvSpPr>
        <xdr:cNvPr id="13" name="Rectangle 12">
          <a:extLst>
            <a:ext uri="{FF2B5EF4-FFF2-40B4-BE49-F238E27FC236}">
              <a16:creationId xmlns:a16="http://schemas.microsoft.com/office/drawing/2014/main" id="{6C93666F-7F7A-7C3F-8853-5E1F04ADCEAE}"/>
            </a:ext>
          </a:extLst>
        </xdr:cNvPr>
        <xdr:cNvSpPr/>
      </xdr:nvSpPr>
      <xdr:spPr>
        <a:xfrm>
          <a:off x="1615440" y="2308860"/>
          <a:ext cx="6659880" cy="7315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495300</xdr:colOff>
      <xdr:row>0</xdr:row>
      <xdr:rowOff>114300</xdr:rowOff>
    </xdr:from>
    <xdr:to>
      <xdr:col>9</xdr:col>
      <xdr:colOff>335280</xdr:colOff>
      <xdr:row>3</xdr:row>
      <xdr:rowOff>22860</xdr:rowOff>
    </xdr:to>
    <xdr:sp macro="" textlink="">
      <xdr:nvSpPr>
        <xdr:cNvPr id="14" name="TextBox 13">
          <a:extLst>
            <a:ext uri="{FF2B5EF4-FFF2-40B4-BE49-F238E27FC236}">
              <a16:creationId xmlns:a16="http://schemas.microsoft.com/office/drawing/2014/main" id="{6A4AAEDC-C08E-7AA6-A9EC-F58EE3828E67}"/>
            </a:ext>
          </a:extLst>
        </xdr:cNvPr>
        <xdr:cNvSpPr txBox="1"/>
      </xdr:nvSpPr>
      <xdr:spPr>
        <a:xfrm>
          <a:off x="1714500" y="114300"/>
          <a:ext cx="4107180" cy="4572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2400" b="1">
              <a:solidFill>
                <a:srgbClr val="002060"/>
              </a:solidFill>
              <a:latin typeface="Bahnschrift SemiBold Condensed" panose="020B0502040204020203" pitchFamily="34" charset="0"/>
            </a:rPr>
            <a:t>Hospital</a:t>
          </a:r>
          <a:r>
            <a:rPr lang="en-IN" sz="2400" b="1" baseline="0">
              <a:solidFill>
                <a:srgbClr val="002060"/>
              </a:solidFill>
              <a:latin typeface="Bahnschrift SemiBold Condensed" panose="020B0502040204020203" pitchFamily="34" charset="0"/>
            </a:rPr>
            <a:t> Emergency Room Dashboard</a:t>
          </a:r>
        </a:p>
        <a:p>
          <a:pPr algn="r"/>
          <a:endParaRPr lang="en-IN" sz="2400" b="1">
            <a:solidFill>
              <a:srgbClr val="002060"/>
            </a:solidFill>
            <a:latin typeface="Bahnschrift SemiBold Condensed" panose="020B0502040204020203" pitchFamily="34" charset="0"/>
          </a:endParaRPr>
        </a:p>
      </xdr:txBody>
    </xdr:sp>
    <xdr:clientData/>
  </xdr:twoCellAnchor>
  <xdr:twoCellAnchor>
    <xdr:from>
      <xdr:col>3</xdr:col>
      <xdr:colOff>548640</xdr:colOff>
      <xdr:row>3</xdr:row>
      <xdr:rowOff>41413</xdr:rowOff>
    </xdr:from>
    <xdr:to>
      <xdr:col>7</xdr:col>
      <xdr:colOff>518160</xdr:colOff>
      <xdr:row>4</xdr:row>
      <xdr:rowOff>82826</xdr:rowOff>
    </xdr:to>
    <xdr:sp macro="" textlink="">
      <xdr:nvSpPr>
        <xdr:cNvPr id="17" name="TextBox 16">
          <a:extLst>
            <a:ext uri="{FF2B5EF4-FFF2-40B4-BE49-F238E27FC236}">
              <a16:creationId xmlns:a16="http://schemas.microsoft.com/office/drawing/2014/main" id="{144D5BBD-EBBD-5F0C-49D1-C6563604305E}"/>
            </a:ext>
          </a:extLst>
        </xdr:cNvPr>
        <xdr:cNvSpPr txBox="1"/>
      </xdr:nvSpPr>
      <xdr:spPr>
        <a:xfrm>
          <a:off x="2387379" y="588065"/>
          <a:ext cx="2421172" cy="22363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002060"/>
              </a:solidFill>
            </a:rPr>
            <a:t>Monthly</a:t>
          </a:r>
          <a:r>
            <a:rPr lang="en-IN" sz="1800" b="1" baseline="0">
              <a:solidFill>
                <a:srgbClr val="002060"/>
              </a:solidFill>
            </a:rPr>
            <a:t> Report</a:t>
          </a:r>
          <a:endParaRPr lang="en-IN" sz="1800" b="1">
            <a:solidFill>
              <a:srgbClr val="002060"/>
            </a:solidFill>
          </a:endParaRPr>
        </a:p>
      </xdr:txBody>
    </xdr:sp>
    <xdr:clientData/>
  </xdr:twoCellAnchor>
  <xdr:twoCellAnchor>
    <xdr:from>
      <xdr:col>2</xdr:col>
      <xdr:colOff>563880</xdr:colOff>
      <xdr:row>5</xdr:row>
      <xdr:rowOff>152400</xdr:rowOff>
    </xdr:from>
    <xdr:to>
      <xdr:col>5</xdr:col>
      <xdr:colOff>297180</xdr:colOff>
      <xdr:row>7</xdr:row>
      <xdr:rowOff>99060</xdr:rowOff>
    </xdr:to>
    <xdr:sp macro="" textlink="'Pivot Report'!A4">
      <xdr:nvSpPr>
        <xdr:cNvPr id="23" name="TextBox 22">
          <a:extLst>
            <a:ext uri="{FF2B5EF4-FFF2-40B4-BE49-F238E27FC236}">
              <a16:creationId xmlns:a16="http://schemas.microsoft.com/office/drawing/2014/main" id="{3447574F-01D7-3DD4-D3D5-1FA4EED3CEE7}"/>
            </a:ext>
          </a:extLst>
        </xdr:cNvPr>
        <xdr:cNvSpPr txBox="1"/>
      </xdr:nvSpPr>
      <xdr:spPr>
        <a:xfrm>
          <a:off x="1783080" y="1066800"/>
          <a:ext cx="1562100" cy="3124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13D5A8-C414-433B-A00F-8E3117715201}" type="TxLink">
            <a:rPr lang="en-US" sz="1800" b="1" i="0" u="none" strike="noStrike">
              <a:solidFill>
                <a:srgbClr val="000000"/>
              </a:solidFill>
              <a:latin typeface="Aptos Narrow"/>
            </a:rPr>
            <a:pPr algn="ctr"/>
            <a:t>513</a:t>
          </a:fld>
          <a:endParaRPr lang="en-IN" sz="1800" b="1">
            <a:solidFill>
              <a:srgbClr val="002060"/>
            </a:solidFill>
          </a:endParaRPr>
        </a:p>
      </xdr:txBody>
    </xdr:sp>
    <xdr:clientData/>
  </xdr:twoCellAnchor>
  <xdr:twoCellAnchor>
    <xdr:from>
      <xdr:col>2</xdr:col>
      <xdr:colOff>457200</xdr:colOff>
      <xdr:row>7</xdr:row>
      <xdr:rowOff>91440</xdr:rowOff>
    </xdr:from>
    <xdr:to>
      <xdr:col>5</xdr:col>
      <xdr:colOff>480060</xdr:colOff>
      <xdr:row>9</xdr:row>
      <xdr:rowOff>76200</xdr:rowOff>
    </xdr:to>
    <xdr:sp macro="" textlink="">
      <xdr:nvSpPr>
        <xdr:cNvPr id="24" name="TextBox 23">
          <a:extLst>
            <a:ext uri="{FF2B5EF4-FFF2-40B4-BE49-F238E27FC236}">
              <a16:creationId xmlns:a16="http://schemas.microsoft.com/office/drawing/2014/main" id="{A289AE5F-862D-AD9A-AEB3-B281ABDF51CD}"/>
            </a:ext>
          </a:extLst>
        </xdr:cNvPr>
        <xdr:cNvSpPr txBox="1"/>
      </xdr:nvSpPr>
      <xdr:spPr>
        <a:xfrm>
          <a:off x="1676400" y="1371600"/>
          <a:ext cx="1851660" cy="350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002060"/>
              </a:solidFill>
            </a:rPr>
            <a:t>No.</a:t>
          </a:r>
          <a:r>
            <a:rPr lang="en-IN" sz="1800" b="1" baseline="0">
              <a:solidFill>
                <a:srgbClr val="002060"/>
              </a:solidFill>
            </a:rPr>
            <a:t> of Patient</a:t>
          </a:r>
          <a:endParaRPr lang="en-IN" sz="1800" b="1">
            <a:solidFill>
              <a:srgbClr val="002060"/>
            </a:solidFill>
          </a:endParaRPr>
        </a:p>
      </xdr:txBody>
    </xdr:sp>
    <xdr:clientData/>
  </xdr:twoCellAnchor>
  <xdr:twoCellAnchor>
    <xdr:from>
      <xdr:col>6</xdr:col>
      <xdr:colOff>480060</xdr:colOff>
      <xdr:row>5</xdr:row>
      <xdr:rowOff>137160</xdr:rowOff>
    </xdr:from>
    <xdr:to>
      <xdr:col>9</xdr:col>
      <xdr:colOff>213360</xdr:colOff>
      <xdr:row>7</xdr:row>
      <xdr:rowOff>167640</xdr:rowOff>
    </xdr:to>
    <xdr:sp macro="" textlink="'Pivot Report'!A8">
      <xdr:nvSpPr>
        <xdr:cNvPr id="25" name="TextBox 24">
          <a:extLst>
            <a:ext uri="{FF2B5EF4-FFF2-40B4-BE49-F238E27FC236}">
              <a16:creationId xmlns:a16="http://schemas.microsoft.com/office/drawing/2014/main" id="{38E90C52-25E7-0544-C4F6-BBC440DC35CD}"/>
            </a:ext>
          </a:extLst>
        </xdr:cNvPr>
        <xdr:cNvSpPr txBox="1"/>
      </xdr:nvSpPr>
      <xdr:spPr>
        <a:xfrm>
          <a:off x="4137660" y="1051560"/>
          <a:ext cx="1562100" cy="3962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9102371-49B6-4E83-B4C4-634F8B3DD0F3}" type="TxLink">
            <a:rPr lang="en-US" sz="1800" b="1" i="0" u="none" strike="noStrike">
              <a:solidFill>
                <a:srgbClr val="000000"/>
              </a:solidFill>
              <a:effectLst/>
              <a:latin typeface="Aptos Narrow"/>
            </a:rPr>
            <a:pPr algn="ctr"/>
            <a:t>36.32</a:t>
          </a:fld>
          <a:endParaRPr lang="en-IN" sz="1800" b="1"/>
        </a:p>
      </xdr:txBody>
    </xdr:sp>
    <xdr:clientData/>
  </xdr:twoCellAnchor>
  <xdr:twoCellAnchor>
    <xdr:from>
      <xdr:col>6</xdr:col>
      <xdr:colOff>259080</xdr:colOff>
      <xdr:row>7</xdr:row>
      <xdr:rowOff>144780</xdr:rowOff>
    </xdr:from>
    <xdr:to>
      <xdr:col>9</xdr:col>
      <xdr:colOff>381000</xdr:colOff>
      <xdr:row>9</xdr:row>
      <xdr:rowOff>114300</xdr:rowOff>
    </xdr:to>
    <xdr:sp macro="" textlink="">
      <xdr:nvSpPr>
        <xdr:cNvPr id="26" name="TextBox 25">
          <a:extLst>
            <a:ext uri="{FF2B5EF4-FFF2-40B4-BE49-F238E27FC236}">
              <a16:creationId xmlns:a16="http://schemas.microsoft.com/office/drawing/2014/main" id="{6F273035-FB2D-3E79-5FEA-C33952CD8732}"/>
            </a:ext>
          </a:extLst>
        </xdr:cNvPr>
        <xdr:cNvSpPr txBox="1"/>
      </xdr:nvSpPr>
      <xdr:spPr>
        <a:xfrm>
          <a:off x="3916680" y="1424940"/>
          <a:ext cx="1950720" cy="3352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02060"/>
              </a:solidFill>
            </a:rPr>
            <a:t>Average</a:t>
          </a:r>
          <a:r>
            <a:rPr lang="en-IN" sz="1800" b="1" baseline="0">
              <a:solidFill>
                <a:srgbClr val="002060"/>
              </a:solidFill>
            </a:rPr>
            <a:t> Wait Time</a:t>
          </a:r>
          <a:endParaRPr lang="en-IN" sz="1800" b="1">
            <a:solidFill>
              <a:srgbClr val="002060"/>
            </a:solidFill>
          </a:endParaRPr>
        </a:p>
      </xdr:txBody>
    </xdr:sp>
    <xdr:clientData/>
  </xdr:twoCellAnchor>
  <xdr:twoCellAnchor>
    <xdr:from>
      <xdr:col>10</xdr:col>
      <xdr:colOff>289560</xdr:colOff>
      <xdr:row>5</xdr:row>
      <xdr:rowOff>175260</xdr:rowOff>
    </xdr:from>
    <xdr:to>
      <xdr:col>12</xdr:col>
      <xdr:colOff>510540</xdr:colOff>
      <xdr:row>7</xdr:row>
      <xdr:rowOff>160020</xdr:rowOff>
    </xdr:to>
    <xdr:sp macro="" textlink="'Pivot Report'!A11">
      <xdr:nvSpPr>
        <xdr:cNvPr id="27" name="TextBox 26">
          <a:extLst>
            <a:ext uri="{FF2B5EF4-FFF2-40B4-BE49-F238E27FC236}">
              <a16:creationId xmlns:a16="http://schemas.microsoft.com/office/drawing/2014/main" id="{85700C52-A4C9-3A97-2239-C30FDE692545}"/>
            </a:ext>
          </a:extLst>
        </xdr:cNvPr>
        <xdr:cNvSpPr txBox="1"/>
      </xdr:nvSpPr>
      <xdr:spPr>
        <a:xfrm>
          <a:off x="6385560" y="1089660"/>
          <a:ext cx="1440180" cy="350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24D1C6-4B58-4A80-A7D5-2331F408470E}" type="TxLink">
            <a:rPr lang="en-US" sz="1800" b="1" i="0" u="none" strike="noStrike">
              <a:solidFill>
                <a:srgbClr val="000000"/>
              </a:solidFill>
              <a:latin typeface="Aptos Narrow"/>
            </a:rPr>
            <a:pPr algn="ctr"/>
            <a:t>4.96</a:t>
          </a:fld>
          <a:endParaRPr lang="en-IN" sz="1800" b="1"/>
        </a:p>
      </xdr:txBody>
    </xdr:sp>
    <xdr:clientData/>
  </xdr:twoCellAnchor>
  <xdr:twoCellAnchor>
    <xdr:from>
      <xdr:col>10</xdr:col>
      <xdr:colOff>121920</xdr:colOff>
      <xdr:row>7</xdr:row>
      <xdr:rowOff>114300</xdr:rowOff>
    </xdr:from>
    <xdr:to>
      <xdr:col>13</xdr:col>
      <xdr:colOff>266700</xdr:colOff>
      <xdr:row>11</xdr:row>
      <xdr:rowOff>60960</xdr:rowOff>
    </xdr:to>
    <xdr:sp macro="" textlink="">
      <xdr:nvSpPr>
        <xdr:cNvPr id="28" name="TextBox 27">
          <a:extLst>
            <a:ext uri="{FF2B5EF4-FFF2-40B4-BE49-F238E27FC236}">
              <a16:creationId xmlns:a16="http://schemas.microsoft.com/office/drawing/2014/main" id="{D0905A26-70B9-CFFD-F9D8-339081E35B9E}"/>
            </a:ext>
          </a:extLst>
        </xdr:cNvPr>
        <xdr:cNvSpPr txBox="1"/>
      </xdr:nvSpPr>
      <xdr:spPr>
        <a:xfrm>
          <a:off x="6217920" y="1394460"/>
          <a:ext cx="1973580" cy="6781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002060"/>
              </a:solidFill>
            </a:rPr>
            <a:t>Patient</a:t>
          </a:r>
          <a:r>
            <a:rPr lang="en-IN" sz="1600" b="1" baseline="0">
              <a:solidFill>
                <a:srgbClr val="002060"/>
              </a:solidFill>
            </a:rPr>
            <a:t> Satisfaction Score</a:t>
          </a:r>
          <a:endParaRPr lang="en-IN" sz="1600" b="1">
            <a:solidFill>
              <a:srgbClr val="002060"/>
            </a:solidFill>
          </a:endParaRPr>
        </a:p>
      </xdr:txBody>
    </xdr:sp>
    <xdr:clientData/>
  </xdr:twoCellAnchor>
  <xdr:twoCellAnchor editAs="oneCell">
    <xdr:from>
      <xdr:col>5</xdr:col>
      <xdr:colOff>24264</xdr:colOff>
      <xdr:row>5</xdr:row>
      <xdr:rowOff>53340</xdr:rowOff>
    </xdr:from>
    <xdr:to>
      <xdr:col>5</xdr:col>
      <xdr:colOff>556223</xdr:colOff>
      <xdr:row>7</xdr:row>
      <xdr:rowOff>129540</xdr:rowOff>
    </xdr:to>
    <xdr:pic>
      <xdr:nvPicPr>
        <xdr:cNvPr id="30" name="Graphic 29" descr="Male profile with solid fill">
          <a:extLst>
            <a:ext uri="{FF2B5EF4-FFF2-40B4-BE49-F238E27FC236}">
              <a16:creationId xmlns:a16="http://schemas.microsoft.com/office/drawing/2014/main" id="{AFBCDB77-D8AE-299F-F185-AB8E747105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72264" y="967740"/>
          <a:ext cx="531959" cy="441960"/>
        </a:xfrm>
        <a:prstGeom prst="rect">
          <a:avLst/>
        </a:prstGeom>
      </xdr:spPr>
    </xdr:pic>
    <xdr:clientData/>
  </xdr:twoCellAnchor>
  <xdr:twoCellAnchor editAs="oneCell">
    <xdr:from>
      <xdr:col>0</xdr:col>
      <xdr:colOff>297180</xdr:colOff>
      <xdr:row>0</xdr:row>
      <xdr:rowOff>53340</xdr:rowOff>
    </xdr:from>
    <xdr:to>
      <xdr:col>2</xdr:col>
      <xdr:colOff>396240</xdr:colOff>
      <xdr:row>4</xdr:row>
      <xdr:rowOff>175260</xdr:rowOff>
    </xdr:to>
    <xdr:pic>
      <xdr:nvPicPr>
        <xdr:cNvPr id="32" name="Graphic 31" descr="Medical with solid fill">
          <a:extLst>
            <a:ext uri="{FF2B5EF4-FFF2-40B4-BE49-F238E27FC236}">
              <a16:creationId xmlns:a16="http://schemas.microsoft.com/office/drawing/2014/main" id="{9DEA6D14-8A90-D9A9-73E3-CE974F77FE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7180" y="53340"/>
          <a:ext cx="1318260" cy="853440"/>
        </a:xfrm>
        <a:prstGeom prst="rect">
          <a:avLst/>
        </a:prstGeom>
      </xdr:spPr>
    </xdr:pic>
    <xdr:clientData/>
  </xdr:twoCellAnchor>
  <xdr:twoCellAnchor editAs="oneCell">
    <xdr:from>
      <xdr:col>8</xdr:col>
      <xdr:colOff>472440</xdr:colOff>
      <xdr:row>5</xdr:row>
      <xdr:rowOff>99060</xdr:rowOff>
    </xdr:from>
    <xdr:to>
      <xdr:col>9</xdr:col>
      <xdr:colOff>457200</xdr:colOff>
      <xdr:row>7</xdr:row>
      <xdr:rowOff>144780</xdr:rowOff>
    </xdr:to>
    <xdr:pic>
      <xdr:nvPicPr>
        <xdr:cNvPr id="34" name="Graphic 33" descr="Hourglass Finished with solid fill">
          <a:extLst>
            <a:ext uri="{FF2B5EF4-FFF2-40B4-BE49-F238E27FC236}">
              <a16:creationId xmlns:a16="http://schemas.microsoft.com/office/drawing/2014/main" id="{E9834882-B213-5C30-8276-11AC1BFA0F8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49240" y="1013460"/>
          <a:ext cx="594360" cy="411480"/>
        </a:xfrm>
        <a:prstGeom prst="rect">
          <a:avLst/>
        </a:prstGeom>
      </xdr:spPr>
    </xdr:pic>
    <xdr:clientData/>
  </xdr:twoCellAnchor>
  <xdr:twoCellAnchor editAs="oneCell">
    <xdr:from>
      <xdr:col>12</xdr:col>
      <xdr:colOff>315086</xdr:colOff>
      <xdr:row>5</xdr:row>
      <xdr:rowOff>129540</xdr:rowOff>
    </xdr:from>
    <xdr:to>
      <xdr:col>13</xdr:col>
      <xdr:colOff>335279</xdr:colOff>
      <xdr:row>8</xdr:row>
      <xdr:rowOff>15240</xdr:rowOff>
    </xdr:to>
    <xdr:pic>
      <xdr:nvPicPr>
        <xdr:cNvPr id="36" name="Graphic 35" descr="Arrow circle with solid fill">
          <a:extLst>
            <a:ext uri="{FF2B5EF4-FFF2-40B4-BE49-F238E27FC236}">
              <a16:creationId xmlns:a16="http://schemas.microsoft.com/office/drawing/2014/main" id="{C42A6D7E-1451-E82A-71DB-FDF3091300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30286" y="1043940"/>
          <a:ext cx="629793" cy="434340"/>
        </a:xfrm>
        <a:prstGeom prst="rect">
          <a:avLst/>
        </a:prstGeom>
      </xdr:spPr>
    </xdr:pic>
    <xdr:clientData/>
  </xdr:twoCellAnchor>
  <xdr:twoCellAnchor editAs="oneCell">
    <xdr:from>
      <xdr:col>0</xdr:col>
      <xdr:colOff>220980</xdr:colOff>
      <xdr:row>5</xdr:row>
      <xdr:rowOff>129540</xdr:rowOff>
    </xdr:from>
    <xdr:to>
      <xdr:col>2</xdr:col>
      <xdr:colOff>121920</xdr:colOff>
      <xdr:row>28</xdr:row>
      <xdr:rowOff>0</xdr:rowOff>
    </xdr:to>
    <mc:AlternateContent xmlns:mc="http://schemas.openxmlformats.org/markup-compatibility/2006" xmlns:a14="http://schemas.microsoft.com/office/drawing/2010/main">
      <mc:Choice Requires="a14">
        <xdr:graphicFrame macro="">
          <xdr:nvGraphicFramePr>
            <xdr:cNvPr id="37" name="Date (Month) 1">
              <a:extLst>
                <a:ext uri="{FF2B5EF4-FFF2-40B4-BE49-F238E27FC236}">
                  <a16:creationId xmlns:a16="http://schemas.microsoft.com/office/drawing/2014/main" id="{05B7FA13-9487-47E6-8DCB-6F4D0CAE44EB}"/>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20980" y="1043940"/>
              <a:ext cx="1120140" cy="4076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53340</xdr:rowOff>
    </xdr:from>
    <xdr:to>
      <xdr:col>5</xdr:col>
      <xdr:colOff>525780</xdr:colOff>
      <xdr:row>11</xdr:row>
      <xdr:rowOff>121920</xdr:rowOff>
    </xdr:to>
    <xdr:graphicFrame macro="">
      <xdr:nvGraphicFramePr>
        <xdr:cNvPr id="38" name="Chart 37">
          <a:hlinkClick xmlns:r="http://schemas.openxmlformats.org/officeDocument/2006/relationships" r:id="rId9"/>
          <a:extLst>
            <a:ext uri="{FF2B5EF4-FFF2-40B4-BE49-F238E27FC236}">
              <a16:creationId xmlns:a16="http://schemas.microsoft.com/office/drawing/2014/main" id="{65A288B4-D27E-4EA6-89B2-FDC007864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289560</xdr:colOff>
      <xdr:row>9</xdr:row>
      <xdr:rowOff>76200</xdr:rowOff>
    </xdr:from>
    <xdr:to>
      <xdr:col>9</xdr:col>
      <xdr:colOff>381000</xdr:colOff>
      <xdr:row>11</xdr:row>
      <xdr:rowOff>106680</xdr:rowOff>
    </xdr:to>
    <xdr:graphicFrame macro="">
      <xdr:nvGraphicFramePr>
        <xdr:cNvPr id="39" name="Chart 38">
          <a:hlinkClick xmlns:r="http://schemas.openxmlformats.org/officeDocument/2006/relationships" r:id="rId11"/>
          <a:extLst>
            <a:ext uri="{FF2B5EF4-FFF2-40B4-BE49-F238E27FC236}">
              <a16:creationId xmlns:a16="http://schemas.microsoft.com/office/drawing/2014/main" id="{6DD8C8F9-AA56-4B03-A083-52B9E2124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83820</xdr:colOff>
      <xdr:row>10</xdr:row>
      <xdr:rowOff>99060</xdr:rowOff>
    </xdr:from>
    <xdr:to>
      <xdr:col>13</xdr:col>
      <xdr:colOff>243840</xdr:colOff>
      <xdr:row>12</xdr:row>
      <xdr:rowOff>30480</xdr:rowOff>
    </xdr:to>
    <xdr:graphicFrame macro="">
      <xdr:nvGraphicFramePr>
        <xdr:cNvPr id="40" name="Chart 39">
          <a:hlinkClick xmlns:r="http://schemas.openxmlformats.org/officeDocument/2006/relationships" r:id="rId13"/>
          <a:extLst>
            <a:ext uri="{FF2B5EF4-FFF2-40B4-BE49-F238E27FC236}">
              <a16:creationId xmlns:a16="http://schemas.microsoft.com/office/drawing/2014/main" id="{10F339E2-F575-4497-B2E7-70D6B8BAC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403860</xdr:colOff>
      <xdr:row>12</xdr:row>
      <xdr:rowOff>167640</xdr:rowOff>
    </xdr:from>
    <xdr:to>
      <xdr:col>13</xdr:col>
      <xdr:colOff>411480</xdr:colOff>
      <xdr:row>16</xdr:row>
      <xdr:rowOff>68580</xdr:rowOff>
    </xdr:to>
    <xdr:graphicFrame macro="">
      <xdr:nvGraphicFramePr>
        <xdr:cNvPr id="18" name="Chart 17">
          <a:extLst>
            <a:ext uri="{FF2B5EF4-FFF2-40B4-BE49-F238E27FC236}">
              <a16:creationId xmlns:a16="http://schemas.microsoft.com/office/drawing/2014/main" id="{69598301-2B31-4260-ACDE-453484298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426720</xdr:colOff>
          <xdr:row>13</xdr:row>
          <xdr:rowOff>0</xdr:rowOff>
        </xdr:from>
        <xdr:to>
          <xdr:col>8</xdr:col>
          <xdr:colOff>533400</xdr:colOff>
          <xdr:row>16</xdr:row>
          <xdr:rowOff>76200</xdr:rowOff>
        </xdr:to>
        <xdr:pic>
          <xdr:nvPicPr>
            <xdr:cNvPr id="22" name="Picture 21">
              <a:extLst>
                <a:ext uri="{FF2B5EF4-FFF2-40B4-BE49-F238E27FC236}">
                  <a16:creationId xmlns:a16="http://schemas.microsoft.com/office/drawing/2014/main" id="{F55D08EE-E011-F5DA-CA35-5B48F868893D}"/>
                </a:ext>
              </a:extLst>
            </xdr:cNvPr>
            <xdr:cNvPicPr>
              <a:picLocks noChangeAspect="1" noChangeArrowheads="1"/>
              <a:extLst>
                <a:ext uri="{84589F7E-364E-4C9E-8A38-B11213B215E9}">
                  <a14:cameraTool cellRange="'Pivot Report'!$A$41:$C$43" spid="_x0000_s1031"/>
                </a:ext>
              </a:extLst>
            </xdr:cNvPicPr>
          </xdr:nvPicPr>
          <xdr:blipFill>
            <a:blip xmlns:r="http://schemas.openxmlformats.org/officeDocument/2006/relationships" r:embed="rId16"/>
            <a:srcRect/>
            <a:stretch>
              <a:fillRect/>
            </a:stretch>
          </xdr:blipFill>
          <xdr:spPr bwMode="auto">
            <a:xfrm>
              <a:off x="1645920" y="2377440"/>
              <a:ext cx="3764280" cy="6248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281940</xdr:colOff>
      <xdr:row>17</xdr:row>
      <xdr:rowOff>22860</xdr:rowOff>
    </xdr:from>
    <xdr:to>
      <xdr:col>13</xdr:col>
      <xdr:colOff>358140</xdr:colOff>
      <xdr:row>27</xdr:row>
      <xdr:rowOff>167640</xdr:rowOff>
    </xdr:to>
    <xdr:graphicFrame macro="">
      <xdr:nvGraphicFramePr>
        <xdr:cNvPr id="29" name="Chart 28">
          <a:extLst>
            <a:ext uri="{FF2B5EF4-FFF2-40B4-BE49-F238E27FC236}">
              <a16:creationId xmlns:a16="http://schemas.microsoft.com/office/drawing/2014/main" id="{2782E629-F6EA-4B87-AF4A-7C590E137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13</xdr:col>
      <xdr:colOff>320040</xdr:colOff>
      <xdr:row>31</xdr:row>
      <xdr:rowOff>121920</xdr:rowOff>
    </xdr:from>
    <xdr:ext cx="184731" cy="264560"/>
    <xdr:sp macro="" textlink="">
      <xdr:nvSpPr>
        <xdr:cNvPr id="31" name="TextBox 30">
          <a:extLst>
            <a:ext uri="{FF2B5EF4-FFF2-40B4-BE49-F238E27FC236}">
              <a16:creationId xmlns:a16="http://schemas.microsoft.com/office/drawing/2014/main" id="{741187D6-4F35-EED4-0E74-118D0AD8125D}"/>
            </a:ext>
          </a:extLst>
        </xdr:cNvPr>
        <xdr:cNvSpPr txBox="1"/>
      </xdr:nvSpPr>
      <xdr:spPr>
        <a:xfrm>
          <a:off x="8244840" y="579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14</xdr:col>
      <xdr:colOff>33495</xdr:colOff>
      <xdr:row>0</xdr:row>
      <xdr:rowOff>100483</xdr:rowOff>
    </xdr:from>
    <xdr:to>
      <xdr:col>18</xdr:col>
      <xdr:colOff>184220</xdr:colOff>
      <xdr:row>13</xdr:row>
      <xdr:rowOff>147376</xdr:rowOff>
    </xdr:to>
    <xdr:graphicFrame macro="">
      <xdr:nvGraphicFramePr>
        <xdr:cNvPr id="33" name="Chart 32">
          <a:extLst>
            <a:ext uri="{FF2B5EF4-FFF2-40B4-BE49-F238E27FC236}">
              <a16:creationId xmlns:a16="http://schemas.microsoft.com/office/drawing/2014/main" id="{D0C5688B-8CB7-4DED-9FDE-AE99CA3DB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33494</xdr:colOff>
      <xdr:row>10</xdr:row>
      <xdr:rowOff>108857</xdr:rowOff>
    </xdr:from>
    <xdr:to>
      <xdr:col>17</xdr:col>
      <xdr:colOff>602901</xdr:colOff>
      <xdr:row>12</xdr:row>
      <xdr:rowOff>66989</xdr:rowOff>
    </xdr:to>
    <xdr:sp macro="" textlink="">
      <xdr:nvSpPr>
        <xdr:cNvPr id="35" name="TextBox 34">
          <a:extLst>
            <a:ext uri="{FF2B5EF4-FFF2-40B4-BE49-F238E27FC236}">
              <a16:creationId xmlns:a16="http://schemas.microsoft.com/office/drawing/2014/main" id="{48AF7136-283D-757A-25B0-2CE1A8773246}"/>
            </a:ext>
          </a:extLst>
        </xdr:cNvPr>
        <xdr:cNvSpPr txBox="1"/>
      </xdr:nvSpPr>
      <xdr:spPr>
        <a:xfrm>
          <a:off x="8591340" y="1951055"/>
          <a:ext cx="2403231" cy="32657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chemeClr val="tx1"/>
              </a:solidFill>
            </a:rPr>
            <a:t>Patients attended</a:t>
          </a:r>
          <a:r>
            <a:rPr lang="en-IN" sz="1400" b="1" baseline="0">
              <a:solidFill>
                <a:schemeClr val="tx1"/>
              </a:solidFill>
            </a:rPr>
            <a:t> within time</a:t>
          </a:r>
          <a:endParaRPr lang="en-IN" sz="1400" b="1">
            <a:solidFill>
              <a:schemeClr val="tx1"/>
            </a:solidFill>
          </a:endParaRPr>
        </a:p>
      </xdr:txBody>
    </xdr:sp>
    <xdr:clientData/>
  </xdr:twoCellAnchor>
  <xdr:twoCellAnchor>
    <xdr:from>
      <xdr:col>18</xdr:col>
      <xdr:colOff>133976</xdr:colOff>
      <xdr:row>0</xdr:row>
      <xdr:rowOff>58615</xdr:rowOff>
    </xdr:from>
    <xdr:to>
      <xdr:col>22</xdr:col>
      <xdr:colOff>569406</xdr:colOff>
      <xdr:row>14</xdr:row>
      <xdr:rowOff>41030</xdr:rowOff>
    </xdr:to>
    <xdr:graphicFrame macro="">
      <xdr:nvGraphicFramePr>
        <xdr:cNvPr id="41" name="Chart 40">
          <a:extLst>
            <a:ext uri="{FF2B5EF4-FFF2-40B4-BE49-F238E27FC236}">
              <a16:creationId xmlns:a16="http://schemas.microsoft.com/office/drawing/2014/main" id="{D68D0D2B-7201-47C4-A321-42A1B63D1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25121</xdr:colOff>
      <xdr:row>11</xdr:row>
      <xdr:rowOff>75362</xdr:rowOff>
    </xdr:from>
    <xdr:to>
      <xdr:col>22</xdr:col>
      <xdr:colOff>267956</xdr:colOff>
      <xdr:row>12</xdr:row>
      <xdr:rowOff>175847</xdr:rowOff>
    </xdr:to>
    <xdr:sp macro="" textlink="">
      <xdr:nvSpPr>
        <xdr:cNvPr id="42" name="TextBox 41">
          <a:extLst>
            <a:ext uri="{FF2B5EF4-FFF2-40B4-BE49-F238E27FC236}">
              <a16:creationId xmlns:a16="http://schemas.microsoft.com/office/drawing/2014/main" id="{FB3E84A9-AAB0-8F32-8ACC-99C77950D6D4}"/>
            </a:ext>
          </a:extLst>
        </xdr:cNvPr>
        <xdr:cNvSpPr txBox="1"/>
      </xdr:nvSpPr>
      <xdr:spPr>
        <a:xfrm>
          <a:off x="11639341" y="2101780"/>
          <a:ext cx="2076659" cy="28470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Gender wise analysis</a:t>
          </a:r>
        </a:p>
      </xdr:txBody>
    </xdr:sp>
    <xdr:clientData/>
  </xdr:twoCellAnchor>
  <xdr:twoCellAnchor>
    <xdr:from>
      <xdr:col>14</xdr:col>
      <xdr:colOff>167472</xdr:colOff>
      <xdr:row>14</xdr:row>
      <xdr:rowOff>58615</xdr:rowOff>
    </xdr:from>
    <xdr:to>
      <xdr:col>21</xdr:col>
      <xdr:colOff>594527</xdr:colOff>
      <xdr:row>27</xdr:row>
      <xdr:rowOff>108019</xdr:rowOff>
    </xdr:to>
    <xdr:graphicFrame macro="">
      <xdr:nvGraphicFramePr>
        <xdr:cNvPr id="43" name="Chart 42">
          <a:extLst>
            <a:ext uri="{FF2B5EF4-FFF2-40B4-BE49-F238E27FC236}">
              <a16:creationId xmlns:a16="http://schemas.microsoft.com/office/drawing/2014/main" id="{09786758-0DCA-4CDD-B630-DF7ED5D1E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410307</xdr:colOff>
      <xdr:row>26</xdr:row>
      <xdr:rowOff>58616</xdr:rowOff>
    </xdr:from>
    <xdr:to>
      <xdr:col>21</xdr:col>
      <xdr:colOff>385186</xdr:colOff>
      <xdr:row>28</xdr:row>
      <xdr:rowOff>58615</xdr:rowOff>
    </xdr:to>
    <xdr:sp macro="" textlink="">
      <xdr:nvSpPr>
        <xdr:cNvPr id="44" name="TextBox 43">
          <a:extLst>
            <a:ext uri="{FF2B5EF4-FFF2-40B4-BE49-F238E27FC236}">
              <a16:creationId xmlns:a16="http://schemas.microsoft.com/office/drawing/2014/main" id="{08760B3D-8277-EFEA-96C4-FE212E4A00CE}"/>
            </a:ext>
          </a:extLst>
        </xdr:cNvPr>
        <xdr:cNvSpPr txBox="1"/>
      </xdr:nvSpPr>
      <xdr:spPr>
        <a:xfrm>
          <a:off x="8968153" y="4848330"/>
          <a:ext cx="4253802" cy="368439"/>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No.of</a:t>
          </a:r>
          <a:r>
            <a:rPr lang="en-IN" sz="1600" b="1" baseline="0"/>
            <a:t> Patient by Department Referal</a:t>
          </a:r>
          <a:endParaRPr lang="en-IN" sz="1600" b="1"/>
        </a:p>
      </xdr:txBody>
    </xdr:sp>
    <xdr:clientData/>
  </xdr:twoCellAnchor>
  <xdr:twoCellAnchor editAs="oneCell">
    <xdr:from>
      <xdr:col>10</xdr:col>
      <xdr:colOff>228600</xdr:colOff>
      <xdr:row>0</xdr:row>
      <xdr:rowOff>114301</xdr:rowOff>
    </xdr:from>
    <xdr:to>
      <xdr:col>13</xdr:col>
      <xdr:colOff>228600</xdr:colOff>
      <xdr:row>4</xdr:row>
      <xdr:rowOff>106680</xdr:rowOff>
    </xdr:to>
    <mc:AlternateContent xmlns:mc="http://schemas.openxmlformats.org/markup-compatibility/2006">
      <mc:Choice xmlns:a14="http://schemas.microsoft.com/office/drawing/2010/main" Requires="a14">
        <xdr:graphicFrame macro="">
          <xdr:nvGraphicFramePr>
            <xdr:cNvPr id="45" name="Date (Year) 1">
              <a:extLst>
                <a:ext uri="{FF2B5EF4-FFF2-40B4-BE49-F238E27FC236}">
                  <a16:creationId xmlns:a16="http://schemas.microsoft.com/office/drawing/2014/main" id="{BE526C21-90D1-482D-847E-922F670DDD5D}"/>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6308387" y="114301"/>
              <a:ext cx="1823936" cy="738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0.35618</cdr:x>
      <cdr:y>0.09266</cdr:y>
    </cdr:from>
    <cdr:to>
      <cdr:x>0.65843</cdr:x>
      <cdr:y>0.2278</cdr:y>
    </cdr:to>
    <cdr:sp macro="" textlink="">
      <cdr:nvSpPr>
        <cdr:cNvPr id="2" name="TextBox 1">
          <a:extLst xmlns:a="http://schemas.openxmlformats.org/drawingml/2006/main">
            <a:ext uri="{FF2B5EF4-FFF2-40B4-BE49-F238E27FC236}">
              <a16:creationId xmlns:a16="http://schemas.microsoft.com/office/drawing/2014/main" id="{168021DF-6DC0-9568-32E2-7F9E3EBB31AC}"/>
            </a:ext>
          </a:extLst>
        </cdr:cNvPr>
        <cdr:cNvSpPr txBox="1"/>
      </cdr:nvSpPr>
      <cdr:spPr>
        <a:xfrm xmlns:a="http://schemas.openxmlformats.org/drawingml/2006/main">
          <a:off x="2415540" y="182880"/>
          <a:ext cx="204978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0.32584</cdr:x>
      <cdr:y>0</cdr:y>
    </cdr:from>
    <cdr:to>
      <cdr:x>0.72584</cdr:x>
      <cdr:y>0.19305</cdr:y>
    </cdr:to>
    <cdr:sp macro="" textlink="">
      <cdr:nvSpPr>
        <cdr:cNvPr id="3" name="TextBox 2">
          <a:extLst xmlns:a="http://schemas.openxmlformats.org/drawingml/2006/main">
            <a:ext uri="{FF2B5EF4-FFF2-40B4-BE49-F238E27FC236}">
              <a16:creationId xmlns:a16="http://schemas.microsoft.com/office/drawing/2014/main" id="{4D9CEDDA-9CEA-B686-0B22-03FB7B7F0572}"/>
            </a:ext>
          </a:extLst>
        </cdr:cNvPr>
        <cdr:cNvSpPr txBox="1"/>
      </cdr:nvSpPr>
      <cdr:spPr>
        <a:xfrm xmlns:a="http://schemas.openxmlformats.org/drawingml/2006/main">
          <a:off x="2209800" y="0"/>
          <a:ext cx="2712720" cy="381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b="1" kern="1200">
              <a:solidFill>
                <a:schemeClr val="tx1">
                  <a:lumMod val="50000"/>
                  <a:lumOff val="50000"/>
                </a:schemeClr>
              </a:solidFill>
            </a:rPr>
            <a:t>No.of</a:t>
          </a:r>
          <a:r>
            <a:rPr lang="en-IN" sz="1600" b="1" kern="1200" baseline="0">
              <a:solidFill>
                <a:schemeClr val="tx1">
                  <a:lumMod val="50000"/>
                  <a:lumOff val="50000"/>
                </a:schemeClr>
              </a:solidFill>
            </a:rPr>
            <a:t> Patient by Age Group</a:t>
          </a:r>
          <a:endParaRPr lang="en-IN" sz="1600" b="1" kern="1200">
            <a:solidFill>
              <a:schemeClr val="tx1">
                <a:lumMod val="50000"/>
                <a:lumOff val="50000"/>
              </a:schemeClr>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6185.903055787036" createdVersion="8" refreshedVersion="8" minRefreshableVersion="3" recordCount="0" supportSubquery="1" supportAdvancedDrill="1" xr:uid="{F0EA7A71-5F29-41AB-AA42-ECA247791362}">
  <cacheSource type="external" connectionId="3"/>
  <cacheFields count="1">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6185.903212384263" createdVersion="8" refreshedVersion="8" minRefreshableVersion="3" recordCount="0" supportSubquery="1" supportAdvancedDrill="1" xr:uid="{FC1CBDC5-A72C-431B-ACA3-8B87F2C533E5}">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6185.903212384263" createdVersion="5" refreshedVersion="8" minRefreshableVersion="3" recordCount="0" supportSubquery="1" supportAdvancedDrill="1" xr:uid="{145DA2B2-AD22-472E-93E6-9D1A975C8826}">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6185.90321261574" createdVersion="8" refreshedVersion="8" minRefreshableVersion="3" recordCount="0" supportSubquery="1" supportAdvancedDrill="1" xr:uid="{3196799D-76A8-4FE1-ADB4-96A8A64256EA}">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6185.903212962963" createdVersion="8" refreshedVersion="8" minRefreshableVersion="3" recordCount="0" supportSubquery="1" supportAdvancedDrill="1" xr:uid="{6E50FFB6-4A3C-4644-855E-FC5F6C043E56}">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6185.90321365741" createdVersion="8" refreshedVersion="8" minRefreshableVersion="3" recordCount="0" supportSubquery="1" supportAdvancedDrill="1" xr:uid="{C2F6E118-8712-4A20-9CC6-08B05CDFD6A7}">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6185.903214120372" createdVersion="8" refreshedVersion="8" minRefreshableVersion="3" recordCount="0" supportSubquery="1" supportAdvancedDrill="1" xr:uid="{E490B76B-4BE2-46D5-975F-479462EE6119}">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6185.903214467595" createdVersion="8" refreshedVersion="8" minRefreshableVersion="3" recordCount="0" supportSubquery="1" supportAdvancedDrill="1" xr:uid="{6F89E2BA-4763-4C4E-B847-58F222E2AE4A}">
  <cacheSource type="external" connectionId="3"/>
  <cacheFields count="5">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6185.903214814818" createdVersion="8" refreshedVersion="8" minRefreshableVersion="3" recordCount="0" supportSubquery="1" supportAdvancedDrill="1" xr:uid="{9F785853-9C34-4417-A16E-D7AA7C2BF01B}">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6185.903215162034" createdVersion="8" refreshedVersion="8" minRefreshableVersion="3" recordCount="0" supportSubquery="1" supportAdvancedDrill="1" xr:uid="{2F49DCAA-720C-4EF5-8FEA-BA487E4E7AD7}">
  <cacheSource type="external" connectionId="3"/>
  <cacheFields count="4">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6185.903215972219" createdVersion="8" refreshedVersion="8" minRefreshableVersion="3" recordCount="0" supportSubquery="1" supportAdvancedDrill="1" xr:uid="{8BDC0C52-88FB-4131-9107-F10B93A0452C}">
  <cacheSource type="external" connectionId="3"/>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6185.903216666666" createdVersion="8" refreshedVersion="8" minRefreshableVersion="3" recordCount="0" supportSubquery="1" supportAdvancedDrill="1" xr:uid="{6F241017-B1BB-480C-9B92-5A6ED88D6044}">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YADAV" refreshedDate="46185.900768634259" createdVersion="3" refreshedVersion="8" minRefreshableVersion="3" recordCount="0" supportSubquery="1" supportAdvancedDrill="1" xr:uid="{44DC565F-BAC1-4FC1-BE2E-78E11D262B43}">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241622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552BEE-D9D8-4A63-A178-96A8707F5F73}" name="PivotTable14" cacheId="14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1:H5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A49E13-5C19-4839-B618-D6DAB92E0800}" name="PivotTable13" cacheId="16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50:D59"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1"/>
    </i>
    <i>
      <x v="7"/>
    </i>
    <i>
      <x v="3"/>
    </i>
    <i>
      <x v="6"/>
    </i>
    <i>
      <x/>
    </i>
    <i>
      <x v="5"/>
    </i>
    <i>
      <x v="2"/>
    </i>
    <i>
      <x v="4"/>
    </i>
    <i t="grand">
      <x/>
    </i>
  </rowItems>
  <colItems count="1">
    <i/>
  </colItems>
  <dataFields count="1">
    <dataField name="Count of Department Referral"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5F4A3F-FD4E-46D1-A155-4B10CBD0377D}" name="PivotTable12" cacheId="16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44:I47"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showDataAs="percentOfTotal" baseField="0" baseItem="0" numFmtId="1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59830C-AE4F-483D-A1B7-C1A7106769F9}" name="PivotTable11" cacheId="16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5:E4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showDataAs="percentOfTotal" baseField="0" baseItem="0" numFmtId="1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7AEC49-F0E1-466F-8EFD-1E0E4E16E352}" name="PivotTable10" cacheId="165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A45:B5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DDBCF7-AA19-40D6-9BC2-B9C3B4A0D80C}" name="PivotTable9" cacheId="165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36:C39"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2">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FF7F3D-B481-4B24-A8C5-EC48F886D5A9}" name="PivotTable8" cacheId="1651" applyNumberFormats="0" applyBorderFormats="0" applyFontFormats="0" applyPatternFormats="0" applyAlignmentFormats="0" applyWidthHeightFormats="1" dataCaption="Values" tag="c8665b7d-27b6-411d-8611-def70aafd752" updatedVersion="8" minRefreshableVersion="3" subtotalHiddenItems="1" itemPrintTitles="1" createdVersion="8" indent="0" outline="1" outlineData="1" multipleFieldFilters="0" chartFormat="30">
  <location ref="M3:N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72">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47373E-A789-4CE9-ACC5-045CC218431E}" name="PivotTable7" cacheId="1648" applyNumberFormats="0" applyBorderFormats="0" applyFontFormats="0" applyPatternFormats="0" applyAlignmentFormats="0" applyWidthHeightFormats="1" dataCaption="Values" tag="346506e9-2951-46f8-ac8c-2e6d5ddc5e54" updatedVersion="8" minRefreshableVersion="3" subtotalHiddenItems="1" itemPrintTitles="1" createdVersion="8" indent="0" outline="1" outlineData="1" multipleFieldFilters="0" chartFormat="23">
  <location ref="H3:I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73">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4B2699-850C-4E9F-A396-92B93F5A50EF}" name="PivotTable6" cacheId="1636" applyNumberFormats="0" applyBorderFormats="0" applyFontFormats="0" applyPatternFormats="0" applyAlignmentFormats="0" applyWidthHeightFormats="1" dataCaption="Values" tag="31bf5d13-c79b-49de-ac66-52c8684865cc" updatedVersion="8" minRefreshableVersion="3" subtotalHiddenItems="1" itemPrintTitles="1" createdVersion="8" indent="0" outline="1" outlineData="1" multipleFieldFilters="0" chartFormat="14">
  <location ref="C3:D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51B4FA-1755-4437-8C57-952CADA5725B}" name="PivotTable1" cacheId="1639" applyNumberFormats="0" applyBorderFormats="0" applyFontFormats="0" applyPatternFormats="0" applyAlignmentFormats="0" applyWidthHeightFormats="1" dataCaption="Values" tag="452f367d-a680-48ca-8227-7b0eb49d5878"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74">
      <pivotArea outline="0" collapsedLevelsAreSubtotals="1" fieldPosition="0"/>
    </format>
  </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79372B-6750-4563-8FDA-BBC529885AFB}" name="PivotTable3" cacheId="1645" applyNumberFormats="0" applyBorderFormats="0" applyFontFormats="0" applyPatternFormats="0" applyAlignmentFormats="0" applyWidthHeightFormats="1" dataCaption="Values" tag="91bd5c58-631a-4f9a-8a96-df9cb25c9970" updatedVersion="8" minRefreshableVersion="3" useAutoFormatting="1" itemPrintTitles="1" createdVersion="8"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75">
      <pivotArea outline="0" collapsedLevelsAreSubtotals="1" fieldPosition="0"/>
    </format>
  </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273CA4-3177-4261-B88B-B74E917DC672}" name="PivotTable2" cacheId="1642" applyNumberFormats="0" applyBorderFormats="0" applyFontFormats="0" applyPatternFormats="0" applyAlignmentFormats="0" applyWidthHeightFormats="1" dataCaption="Values" tag="0e5ec30f-b4eb-4de4-92fd-5ccc681f7703" updatedVersion="8" minRefreshableVersion="3" useAutoFormatting="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2">
    <format dxfId="77">
      <pivotArea outline="0" collapsedLevelsAreSubtotals="1" fieldPosition="0"/>
    </format>
    <format dxfId="76">
      <pivotArea outline="0" collapsedLevelsAreSubtotals="1" fieldPosition="0"/>
    </format>
  </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39E8F72-676E-4CA8-8D61-C235B89549D3}" sourceName="[Calender_Table].[Date (Month)]">
  <pivotTables>
    <pivotTable tabId="1" name="PivotTable6"/>
    <pivotTable tabId="1" name="PivotTable1"/>
    <pivotTable tabId="1" name="PivotTable2"/>
    <pivotTable tabId="1" name="PivotTable3"/>
    <pivotTable tabId="1" name="PivotTable7"/>
    <pivotTable tabId="1" name="PivotTable8"/>
    <pivotTable tabId="1" name="PivotTable9"/>
    <pivotTable tabId="1" name="PivotTable10"/>
    <pivotTable tabId="1" name="PivotTable11"/>
    <pivotTable tabId="1" name="PivotTable12"/>
    <pivotTable tabId="1" name="PivotTable13"/>
  </pivotTables>
  <data>
    <olap pivotCacheId="42416220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5171C8A-5F52-45A9-A923-9F3409059F33}" sourceName="[Calender_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6"/>
    <pivotTable tabId="1" name="PivotTable7"/>
    <pivotTable tabId="1" name="PivotTable8"/>
    <pivotTable tabId="1" name="PivotTable9"/>
  </pivotTables>
  <data>
    <olap pivotCacheId="424162205">
      <levels count="2">
        <level uniqueName="[Calender_Table].[Date (Year)].[(All)]" sourceCaption="(All)" count="0"/>
        <level uniqueName="[Calender_Table].[Date (Year)].[Date (Year)]" sourceCaption="Date (Year)" count="2">
          <ranges>
            <range startItem="0">
              <i n="[Calender_Table].[Date (Year)].&amp;[2024]" c="2024"/>
              <i n="[Calender_Table].[Date (Year)].&amp;[2023]" c="2023" nd="1"/>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04B3024-4E8D-4B7F-8D44-8F7FCCD018A5}" cache="Slicer_Date__Month" caption="Date (Month)" showCaption="0" level="1" style="SlicerStyleDark5" rowHeight="247650"/>
  <slicer name="Date (Year) 1" xr10:uid="{E02F26C4-B556-42CE-974F-EBF134B705F9}" cache="Slicer_Date__Year" caption="Date (Year)" showCaption="0"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1C07A-A7D3-4BE3-BC96-8AEBA80A93B3}">
  <dimension ref="A2:N59"/>
  <sheetViews>
    <sheetView workbookViewId="0">
      <selection activeCell="H51" sqref="H51"/>
    </sheetView>
  </sheetViews>
  <sheetFormatPr defaultRowHeight="14.4" x14ac:dyDescent="0.3"/>
  <cols>
    <col min="1" max="1" width="31.77734375" bestFit="1" customWidth="1"/>
    <col min="2" max="2" width="27.44140625" bestFit="1" customWidth="1"/>
    <col min="3" max="3" width="14.88671875" bestFit="1" customWidth="1"/>
    <col min="4" max="4" width="25.44140625" bestFit="1" customWidth="1"/>
    <col min="5" max="5" width="25.77734375" bestFit="1" customWidth="1"/>
    <col min="6" max="7" width="4.6640625" bestFit="1" customWidth="1"/>
    <col min="8" max="8" width="12.44140625" bestFit="1" customWidth="1"/>
    <col min="9" max="9" width="20.77734375" bestFit="1" customWidth="1"/>
    <col min="10" max="739" width="10.33203125" bestFit="1" customWidth="1"/>
    <col min="740" max="740" width="10.5546875" bestFit="1" customWidth="1"/>
  </cols>
  <sheetData>
    <row r="2" spans="1:14" x14ac:dyDescent="0.3">
      <c r="A2" t="s">
        <v>3</v>
      </c>
      <c r="C2" t="s">
        <v>6</v>
      </c>
      <c r="H2" t="s">
        <v>7</v>
      </c>
      <c r="M2" t="s">
        <v>8</v>
      </c>
    </row>
    <row r="3" spans="1:14" x14ac:dyDescent="0.3">
      <c r="A3" t="s">
        <v>2</v>
      </c>
      <c r="C3" s="1" t="s">
        <v>0</v>
      </c>
      <c r="D3" t="s">
        <v>2</v>
      </c>
      <c r="H3" s="1" t="s">
        <v>0</v>
      </c>
      <c r="I3" t="s">
        <v>4</v>
      </c>
      <c r="M3" s="1" t="s">
        <v>0</v>
      </c>
      <c r="N3" t="s">
        <v>5</v>
      </c>
    </row>
    <row r="4" spans="1:14" x14ac:dyDescent="0.3">
      <c r="A4" s="11">
        <v>513</v>
      </c>
      <c r="C4" s="2" t="s">
        <v>16</v>
      </c>
      <c r="D4" s="5">
        <v>19</v>
      </c>
      <c r="H4" s="2" t="s">
        <v>16</v>
      </c>
      <c r="I4" s="3">
        <v>37.789473684210527</v>
      </c>
      <c r="M4" s="2" t="s">
        <v>16</v>
      </c>
      <c r="N4" s="3">
        <v>6.666666666666667</v>
      </c>
    </row>
    <row r="5" spans="1:14" x14ac:dyDescent="0.3">
      <c r="C5" s="2" t="s">
        <v>17</v>
      </c>
      <c r="D5" s="5">
        <v>14</v>
      </c>
      <c r="H5" s="2" t="s">
        <v>17</v>
      </c>
      <c r="I5" s="3">
        <v>38.214285714285715</v>
      </c>
      <c r="M5" s="2" t="s">
        <v>17</v>
      </c>
      <c r="N5" s="3">
        <v>3.5</v>
      </c>
    </row>
    <row r="6" spans="1:14" x14ac:dyDescent="0.3">
      <c r="C6" s="2" t="s">
        <v>18</v>
      </c>
      <c r="D6" s="5">
        <v>13</v>
      </c>
      <c r="H6" s="2" t="s">
        <v>18</v>
      </c>
      <c r="I6" s="3">
        <v>40.92307692307692</v>
      </c>
      <c r="M6" s="2" t="s">
        <v>18</v>
      </c>
      <c r="N6" s="3">
        <v>4.5</v>
      </c>
    </row>
    <row r="7" spans="1:14" x14ac:dyDescent="0.3">
      <c r="A7" t="s">
        <v>4</v>
      </c>
      <c r="C7" s="2" t="s">
        <v>19</v>
      </c>
      <c r="D7" s="5">
        <v>22</v>
      </c>
      <c r="H7" s="2" t="s">
        <v>19</v>
      </c>
      <c r="I7" s="3">
        <v>34.5</v>
      </c>
      <c r="M7" s="2" t="s">
        <v>19</v>
      </c>
      <c r="N7" s="3">
        <v>4.8</v>
      </c>
    </row>
    <row r="8" spans="1:14" x14ac:dyDescent="0.3">
      <c r="A8" s="12">
        <v>36.323586744639378</v>
      </c>
      <c r="C8" s="2" t="s">
        <v>20</v>
      </c>
      <c r="D8" s="5">
        <v>19</v>
      </c>
      <c r="H8" s="2" t="s">
        <v>20</v>
      </c>
      <c r="I8" s="3">
        <v>30.684210526315791</v>
      </c>
      <c r="M8" s="2" t="s">
        <v>20</v>
      </c>
      <c r="N8" s="3">
        <v>7.75</v>
      </c>
    </row>
    <row r="9" spans="1:14" x14ac:dyDescent="0.3">
      <c r="C9" s="2" t="s">
        <v>21</v>
      </c>
      <c r="D9" s="5">
        <v>15</v>
      </c>
      <c r="H9" s="2" t="s">
        <v>21</v>
      </c>
      <c r="I9" s="3">
        <v>37.666666666666664</v>
      </c>
      <c r="M9" s="2" t="s">
        <v>21</v>
      </c>
      <c r="N9" s="3">
        <v>6.2</v>
      </c>
    </row>
    <row r="10" spans="1:14" x14ac:dyDescent="0.3">
      <c r="A10" t="s">
        <v>5</v>
      </c>
      <c r="C10" s="2" t="s">
        <v>22</v>
      </c>
      <c r="D10" s="5">
        <v>12</v>
      </c>
      <c r="H10" s="2" t="s">
        <v>22</v>
      </c>
      <c r="I10" s="3">
        <v>36.083333333333336</v>
      </c>
      <c r="M10" s="2" t="s">
        <v>22</v>
      </c>
      <c r="N10" s="3">
        <v>3.75</v>
      </c>
    </row>
    <row r="11" spans="1:14" x14ac:dyDescent="0.3">
      <c r="A11" s="3">
        <v>4.9591836734693882</v>
      </c>
      <c r="C11" s="2" t="s">
        <v>23</v>
      </c>
      <c r="D11" s="5">
        <v>21</v>
      </c>
      <c r="H11" s="2" t="s">
        <v>23</v>
      </c>
      <c r="I11" s="3">
        <v>43.523809523809526</v>
      </c>
      <c r="M11" s="2" t="s">
        <v>23</v>
      </c>
      <c r="N11" s="3">
        <v>6.5</v>
      </c>
    </row>
    <row r="12" spans="1:14" x14ac:dyDescent="0.3">
      <c r="C12" s="2" t="s">
        <v>24</v>
      </c>
      <c r="D12" s="5">
        <v>12</v>
      </c>
      <c r="H12" s="2" t="s">
        <v>24</v>
      </c>
      <c r="I12" s="3">
        <v>29.5</v>
      </c>
      <c r="M12" s="2" t="s">
        <v>24</v>
      </c>
      <c r="N12" s="3">
        <v>3</v>
      </c>
    </row>
    <row r="13" spans="1:14" x14ac:dyDescent="0.3">
      <c r="C13" s="2" t="s">
        <v>25</v>
      </c>
      <c r="D13" s="5">
        <v>13</v>
      </c>
      <c r="H13" s="2" t="s">
        <v>25</v>
      </c>
      <c r="I13" s="3">
        <v>38.07692307692308</v>
      </c>
      <c r="M13" s="2" t="s">
        <v>25</v>
      </c>
      <c r="N13" s="3">
        <v>4.5</v>
      </c>
    </row>
    <row r="14" spans="1:14" x14ac:dyDescent="0.3">
      <c r="C14" s="2" t="s">
        <v>26</v>
      </c>
      <c r="D14" s="5">
        <v>13</v>
      </c>
      <c r="H14" s="2" t="s">
        <v>26</v>
      </c>
      <c r="I14" s="3">
        <v>35.846153846153847</v>
      </c>
      <c r="M14" s="2" t="s">
        <v>26</v>
      </c>
      <c r="N14" s="3">
        <v>6</v>
      </c>
    </row>
    <row r="15" spans="1:14" x14ac:dyDescent="0.3">
      <c r="C15" s="2" t="s">
        <v>27</v>
      </c>
      <c r="D15" s="5">
        <v>16</v>
      </c>
      <c r="H15" s="2" t="s">
        <v>27</v>
      </c>
      <c r="I15" s="3">
        <v>32.625</v>
      </c>
      <c r="M15" s="2" t="s">
        <v>27</v>
      </c>
      <c r="N15" s="3">
        <v>5.2</v>
      </c>
    </row>
    <row r="16" spans="1:14" x14ac:dyDescent="0.3">
      <c r="C16" s="2" t="s">
        <v>28</v>
      </c>
      <c r="D16" s="5">
        <v>20</v>
      </c>
      <c r="H16" s="2" t="s">
        <v>28</v>
      </c>
      <c r="I16" s="3">
        <v>39.200000000000003</v>
      </c>
      <c r="M16" s="2" t="s">
        <v>28</v>
      </c>
      <c r="N16" s="3">
        <v>4.4000000000000004</v>
      </c>
    </row>
    <row r="17" spans="3:14" x14ac:dyDescent="0.3">
      <c r="C17" s="2" t="s">
        <v>29</v>
      </c>
      <c r="D17" s="5">
        <v>25</v>
      </c>
      <c r="H17" s="2" t="s">
        <v>29</v>
      </c>
      <c r="I17" s="3">
        <v>35.28</v>
      </c>
      <c r="M17" s="2" t="s">
        <v>29</v>
      </c>
      <c r="N17" s="3">
        <v>3.4545454545454546</v>
      </c>
    </row>
    <row r="18" spans="3:14" x14ac:dyDescent="0.3">
      <c r="C18" s="2" t="s">
        <v>30</v>
      </c>
      <c r="D18" s="5">
        <v>20</v>
      </c>
      <c r="H18" s="2" t="s">
        <v>30</v>
      </c>
      <c r="I18" s="3">
        <v>32.549999999999997</v>
      </c>
      <c r="M18" s="2" t="s">
        <v>30</v>
      </c>
      <c r="N18" s="3">
        <v>4.4000000000000004</v>
      </c>
    </row>
    <row r="19" spans="3:14" x14ac:dyDescent="0.3">
      <c r="C19" s="2" t="s">
        <v>31</v>
      </c>
      <c r="D19" s="5">
        <v>14</v>
      </c>
      <c r="H19" s="2" t="s">
        <v>31</v>
      </c>
      <c r="I19" s="3">
        <v>35.642857142857146</v>
      </c>
      <c r="M19" s="2" t="s">
        <v>31</v>
      </c>
      <c r="N19" s="3">
        <v>5.833333333333333</v>
      </c>
    </row>
    <row r="20" spans="3:14" x14ac:dyDescent="0.3">
      <c r="C20" s="2" t="s">
        <v>32</v>
      </c>
      <c r="D20" s="5">
        <v>17</v>
      </c>
      <c r="H20" s="2" t="s">
        <v>32</v>
      </c>
      <c r="I20" s="3">
        <v>38.764705882352942</v>
      </c>
      <c r="M20" s="2" t="s">
        <v>32</v>
      </c>
      <c r="N20" s="3">
        <v>4.4444444444444446</v>
      </c>
    </row>
    <row r="21" spans="3:14" x14ac:dyDescent="0.3">
      <c r="C21" s="2" t="s">
        <v>33</v>
      </c>
      <c r="D21" s="5">
        <v>20</v>
      </c>
      <c r="H21" s="2" t="s">
        <v>33</v>
      </c>
      <c r="I21" s="3">
        <v>39.9</v>
      </c>
      <c r="M21" s="2" t="s">
        <v>33</v>
      </c>
      <c r="N21" s="3">
        <v>5.333333333333333</v>
      </c>
    </row>
    <row r="22" spans="3:14" x14ac:dyDescent="0.3">
      <c r="C22" s="2" t="s">
        <v>34</v>
      </c>
      <c r="D22" s="5">
        <v>10</v>
      </c>
      <c r="H22" s="2" t="s">
        <v>34</v>
      </c>
      <c r="I22" s="3">
        <v>41.6</v>
      </c>
      <c r="M22" s="2" t="s">
        <v>34</v>
      </c>
      <c r="N22" s="3">
        <v>5.333333333333333</v>
      </c>
    </row>
    <row r="23" spans="3:14" x14ac:dyDescent="0.3">
      <c r="C23" s="2" t="s">
        <v>35</v>
      </c>
      <c r="D23" s="5">
        <v>17</v>
      </c>
      <c r="H23" s="2" t="s">
        <v>35</v>
      </c>
      <c r="I23" s="3">
        <v>39.470588235294116</v>
      </c>
      <c r="M23" s="2" t="s">
        <v>35</v>
      </c>
      <c r="N23" s="3">
        <v>5.5714285714285712</v>
      </c>
    </row>
    <row r="24" spans="3:14" x14ac:dyDescent="0.3">
      <c r="C24" s="2" t="s">
        <v>36</v>
      </c>
      <c r="D24" s="5">
        <v>15</v>
      </c>
      <c r="H24" s="2" t="s">
        <v>36</v>
      </c>
      <c r="I24" s="3">
        <v>27.733333333333334</v>
      </c>
      <c r="M24" s="2" t="s">
        <v>36</v>
      </c>
      <c r="N24" s="3">
        <v>5</v>
      </c>
    </row>
    <row r="25" spans="3:14" x14ac:dyDescent="0.3">
      <c r="C25" s="2" t="s">
        <v>37</v>
      </c>
      <c r="D25" s="5">
        <v>16</v>
      </c>
      <c r="H25" s="2" t="s">
        <v>37</v>
      </c>
      <c r="I25" s="3">
        <v>36.875</v>
      </c>
      <c r="M25" s="2" t="s">
        <v>37</v>
      </c>
      <c r="N25" s="3">
        <v>6.4</v>
      </c>
    </row>
    <row r="26" spans="3:14" x14ac:dyDescent="0.3">
      <c r="C26" s="2" t="s">
        <v>38</v>
      </c>
      <c r="D26" s="5">
        <v>18</v>
      </c>
      <c r="H26" s="2" t="s">
        <v>38</v>
      </c>
      <c r="I26" s="3">
        <v>40.333333333333336</v>
      </c>
      <c r="M26" s="2" t="s">
        <v>38</v>
      </c>
      <c r="N26" s="3">
        <v>5.333333333333333</v>
      </c>
    </row>
    <row r="27" spans="3:14" x14ac:dyDescent="0.3">
      <c r="C27" s="2" t="s">
        <v>39</v>
      </c>
      <c r="D27" s="5">
        <v>16</v>
      </c>
      <c r="H27" s="2" t="s">
        <v>39</v>
      </c>
      <c r="I27" s="3">
        <v>36.5</v>
      </c>
      <c r="M27" s="2" t="s">
        <v>39</v>
      </c>
      <c r="N27" s="3">
        <v>3.75</v>
      </c>
    </row>
    <row r="28" spans="3:14" x14ac:dyDescent="0.3">
      <c r="C28" s="2" t="s">
        <v>40</v>
      </c>
      <c r="D28" s="5">
        <v>15</v>
      </c>
      <c r="H28" s="2" t="s">
        <v>40</v>
      </c>
      <c r="I28" s="3">
        <v>32.866666666666667</v>
      </c>
      <c r="M28" s="2" t="s">
        <v>40</v>
      </c>
      <c r="N28" s="3">
        <v>6.333333333333333</v>
      </c>
    </row>
    <row r="29" spans="3:14" x14ac:dyDescent="0.3">
      <c r="C29" s="2" t="s">
        <v>41</v>
      </c>
      <c r="D29" s="5">
        <v>14</v>
      </c>
      <c r="H29" s="2" t="s">
        <v>41</v>
      </c>
      <c r="I29" s="3">
        <v>36.642857142857146</v>
      </c>
      <c r="M29" s="2" t="s">
        <v>41</v>
      </c>
      <c r="N29" s="3">
        <v>10</v>
      </c>
    </row>
    <row r="30" spans="3:14" x14ac:dyDescent="0.3">
      <c r="C30" s="2" t="s">
        <v>42</v>
      </c>
      <c r="D30" s="5">
        <v>16</v>
      </c>
      <c r="H30" s="2" t="s">
        <v>42</v>
      </c>
      <c r="I30" s="3">
        <v>36.5625</v>
      </c>
      <c r="M30" s="2" t="s">
        <v>42</v>
      </c>
      <c r="N30" s="3">
        <v>5</v>
      </c>
    </row>
    <row r="31" spans="3:14" x14ac:dyDescent="0.3">
      <c r="C31" s="2" t="s">
        <v>43</v>
      </c>
      <c r="D31" s="5">
        <v>20</v>
      </c>
      <c r="H31" s="2" t="s">
        <v>43</v>
      </c>
      <c r="I31" s="3">
        <v>32.15</v>
      </c>
      <c r="M31" s="2" t="s">
        <v>43</v>
      </c>
      <c r="N31" s="3">
        <v>5.333333333333333</v>
      </c>
    </row>
    <row r="32" spans="3:14" x14ac:dyDescent="0.3">
      <c r="C32" s="2" t="s">
        <v>44</v>
      </c>
      <c r="D32" s="5">
        <v>19</v>
      </c>
      <c r="H32" s="2" t="s">
        <v>44</v>
      </c>
      <c r="I32" s="3">
        <v>38.368421052631582</v>
      </c>
      <c r="M32" s="2" t="s">
        <v>44</v>
      </c>
      <c r="N32" s="3">
        <v>4.8</v>
      </c>
    </row>
    <row r="33" spans="1:14" x14ac:dyDescent="0.3">
      <c r="C33" s="2" t="s">
        <v>45</v>
      </c>
      <c r="D33" s="5">
        <v>14</v>
      </c>
      <c r="H33" s="2" t="s">
        <v>45</v>
      </c>
      <c r="I33" s="3">
        <v>33.071428571428569</v>
      </c>
      <c r="M33" s="2" t="s">
        <v>45</v>
      </c>
      <c r="N33" s="3">
        <v>5</v>
      </c>
    </row>
    <row r="34" spans="1:14" x14ac:dyDescent="0.3">
      <c r="C34" s="2" t="s">
        <v>46</v>
      </c>
      <c r="D34" s="5">
        <v>18</v>
      </c>
      <c r="H34" s="2" t="s">
        <v>46</v>
      </c>
      <c r="I34" s="3">
        <v>36.444444444444443</v>
      </c>
      <c r="M34" s="2" t="s">
        <v>46</v>
      </c>
      <c r="N34" s="3">
        <v>1.4</v>
      </c>
    </row>
    <row r="35" spans="1:14" x14ac:dyDescent="0.3">
      <c r="A35" t="s">
        <v>75</v>
      </c>
      <c r="C35" s="2" t="s">
        <v>1</v>
      </c>
      <c r="D35" s="5">
        <v>513</v>
      </c>
      <c r="H35" s="2" t="s">
        <v>1</v>
      </c>
      <c r="I35" s="3">
        <v>36.323586744639378</v>
      </c>
      <c r="M35" s="2" t="s">
        <v>1</v>
      </c>
      <c r="N35" s="3">
        <v>4.9591836734693882</v>
      </c>
    </row>
    <row r="36" spans="1:14" x14ac:dyDescent="0.3">
      <c r="A36" s="1" t="s">
        <v>0</v>
      </c>
      <c r="B36" t="s">
        <v>11</v>
      </c>
      <c r="C36" t="s">
        <v>12</v>
      </c>
    </row>
    <row r="37" spans="1:14" x14ac:dyDescent="0.3">
      <c r="A37" s="2" t="s">
        <v>9</v>
      </c>
      <c r="B37" s="5">
        <v>269</v>
      </c>
      <c r="C37" s="6">
        <v>0.52436647173489281</v>
      </c>
    </row>
    <row r="38" spans="1:14" x14ac:dyDescent="0.3">
      <c r="A38" s="2" t="s">
        <v>10</v>
      </c>
      <c r="B38" s="5">
        <v>244</v>
      </c>
      <c r="C38" s="6">
        <v>0.47563352826510719</v>
      </c>
    </row>
    <row r="39" spans="1:14" x14ac:dyDescent="0.3">
      <c r="A39" s="2" t="s">
        <v>1</v>
      </c>
      <c r="B39" s="5">
        <v>513</v>
      </c>
      <c r="C39" s="6">
        <v>1</v>
      </c>
    </row>
    <row r="41" spans="1:14" x14ac:dyDescent="0.3">
      <c r="A41" s="7" t="s">
        <v>13</v>
      </c>
      <c r="B41" s="8" t="s">
        <v>14</v>
      </c>
      <c r="C41" s="8" t="s">
        <v>15</v>
      </c>
    </row>
    <row r="42" spans="1:14" x14ac:dyDescent="0.3">
      <c r="A42" s="9" t="str">
        <f>A38</f>
        <v>not admitted</v>
      </c>
      <c r="B42" s="9">
        <f>B38</f>
        <v>244</v>
      </c>
      <c r="C42" s="10">
        <f>C38</f>
        <v>0.47563352826510719</v>
      </c>
    </row>
    <row r="43" spans="1:14" x14ac:dyDescent="0.3">
      <c r="A43" s="9" t="str">
        <f>A37</f>
        <v>admitted</v>
      </c>
      <c r="B43" s="9">
        <f>B37</f>
        <v>269</v>
      </c>
      <c r="C43" s="10">
        <f>C37</f>
        <v>0.52436647173489281</v>
      </c>
      <c r="H43" t="s">
        <v>72</v>
      </c>
    </row>
    <row r="44" spans="1:14" x14ac:dyDescent="0.3">
      <c r="A44" t="s">
        <v>74</v>
      </c>
      <c r="D44" t="s">
        <v>71</v>
      </c>
      <c r="H44" s="1" t="s">
        <v>0</v>
      </c>
      <c r="I44" t="s">
        <v>61</v>
      </c>
    </row>
    <row r="45" spans="1:14" x14ac:dyDescent="0.3">
      <c r="A45" s="1" t="s">
        <v>0</v>
      </c>
      <c r="B45" t="s">
        <v>55</v>
      </c>
      <c r="D45" s="1" t="s">
        <v>0</v>
      </c>
      <c r="E45" t="s">
        <v>58</v>
      </c>
      <c r="H45" s="2" t="s">
        <v>59</v>
      </c>
      <c r="I45" s="6">
        <v>0.46978557504873292</v>
      </c>
    </row>
    <row r="46" spans="1:14" x14ac:dyDescent="0.3">
      <c r="A46" s="2" t="s">
        <v>47</v>
      </c>
      <c r="B46" s="5">
        <v>76</v>
      </c>
      <c r="D46" s="2" t="s">
        <v>56</v>
      </c>
      <c r="E46" s="6">
        <v>0.61598440545808963</v>
      </c>
      <c r="H46" s="2" t="s">
        <v>60</v>
      </c>
      <c r="I46" s="6">
        <v>0.53021442495126703</v>
      </c>
    </row>
    <row r="47" spans="1:14" x14ac:dyDescent="0.3">
      <c r="A47" s="2" t="s">
        <v>48</v>
      </c>
      <c r="B47" s="5">
        <v>69</v>
      </c>
      <c r="D47" s="2" t="s">
        <v>57</v>
      </c>
      <c r="E47" s="6">
        <v>0.38401559454191031</v>
      </c>
      <c r="H47" s="2" t="s">
        <v>1</v>
      </c>
      <c r="I47" s="6">
        <v>1</v>
      </c>
    </row>
    <row r="48" spans="1:14" x14ac:dyDescent="0.3">
      <c r="A48" s="2" t="s">
        <v>49</v>
      </c>
      <c r="B48" s="5">
        <v>64</v>
      </c>
      <c r="D48" s="2" t="s">
        <v>1</v>
      </c>
      <c r="E48" s="6">
        <v>1</v>
      </c>
    </row>
    <row r="49" spans="1:8" x14ac:dyDescent="0.3">
      <c r="A49" s="2" t="s">
        <v>50</v>
      </c>
      <c r="B49" s="5">
        <v>59</v>
      </c>
      <c r="C49" t="s">
        <v>73</v>
      </c>
    </row>
    <row r="50" spans="1:8" x14ac:dyDescent="0.3">
      <c r="A50" s="2" t="s">
        <v>51</v>
      </c>
      <c r="B50" s="5">
        <v>58</v>
      </c>
      <c r="C50" s="1" t="s">
        <v>0</v>
      </c>
      <c r="D50" t="s">
        <v>70</v>
      </c>
    </row>
    <row r="51" spans="1:8" x14ac:dyDescent="0.3">
      <c r="A51" s="2" t="s">
        <v>52</v>
      </c>
      <c r="B51" s="5">
        <v>66</v>
      </c>
      <c r="C51" s="2" t="s">
        <v>63</v>
      </c>
      <c r="D51" s="5">
        <v>4</v>
      </c>
      <c r="H51" s="1" t="s">
        <v>0</v>
      </c>
    </row>
    <row r="52" spans="1:8" x14ac:dyDescent="0.3">
      <c r="A52" s="2" t="s">
        <v>53</v>
      </c>
      <c r="B52" s="5">
        <v>99</v>
      </c>
      <c r="C52" s="2" t="s">
        <v>69</v>
      </c>
      <c r="D52" s="5">
        <v>5</v>
      </c>
      <c r="H52" s="2" t="s">
        <v>76</v>
      </c>
    </row>
    <row r="53" spans="1:8" x14ac:dyDescent="0.3">
      <c r="A53" s="2" t="s">
        <v>54</v>
      </c>
      <c r="B53" s="5">
        <v>22</v>
      </c>
      <c r="C53" s="2" t="s">
        <v>65</v>
      </c>
      <c r="D53" s="5">
        <v>9</v>
      </c>
      <c r="H53" s="2" t="s">
        <v>1</v>
      </c>
    </row>
    <row r="54" spans="1:8" x14ac:dyDescent="0.3">
      <c r="A54" s="2" t="s">
        <v>1</v>
      </c>
      <c r="B54" s="5">
        <v>513</v>
      </c>
      <c r="C54" s="2" t="s">
        <v>68</v>
      </c>
      <c r="D54" s="5">
        <v>14</v>
      </c>
    </row>
    <row r="55" spans="1:8" x14ac:dyDescent="0.3">
      <c r="C55" s="2" t="s">
        <v>62</v>
      </c>
      <c r="D55" s="5">
        <v>14</v>
      </c>
    </row>
    <row r="56" spans="1:8" x14ac:dyDescent="0.3">
      <c r="C56" s="2" t="s">
        <v>67</v>
      </c>
      <c r="D56" s="5">
        <v>65</v>
      </c>
    </row>
    <row r="57" spans="1:8" x14ac:dyDescent="0.3">
      <c r="C57" s="2" t="s">
        <v>64</v>
      </c>
      <c r="D57" s="5">
        <v>103</v>
      </c>
    </row>
    <row r="58" spans="1:8" x14ac:dyDescent="0.3">
      <c r="C58" s="2" t="s">
        <v>66</v>
      </c>
      <c r="D58" s="5">
        <v>299</v>
      </c>
    </row>
    <row r="59" spans="1:8" x14ac:dyDescent="0.3">
      <c r="C59" s="2" t="s">
        <v>1</v>
      </c>
      <c r="D59" s="5">
        <v>513</v>
      </c>
    </row>
  </sheetData>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8037D-CE2E-49A1-8D63-F812136758F9}">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61927-8449-4356-8537-FCA3741B2AA4}">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F0F08-8491-47AF-842B-27F6406D70FC}">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86882-8766-42DF-82BE-DFBB0B5D71F8}">
  <dimension ref="A1"/>
  <sheetViews>
    <sheetView tabSelected="1" zoomScale="94" zoomScaleNormal="94" workbookViewId="0"/>
  </sheetViews>
  <sheetFormatPr defaultRowHeight="14.4" x14ac:dyDescent="0.3"/>
  <cols>
    <col min="1" max="16384" width="8.88671875" style="4"/>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BEE6A5C-1E2E-46F0-AA06-F02E47081608}">
  <ds:schemaRefs/>
</ds:datastoreItem>
</file>

<file path=customXml/itemProps2.xml><?xml version="1.0" encoding="utf-8"?>
<ds:datastoreItem xmlns:ds="http://schemas.openxmlformats.org/officeDocument/2006/customXml" ds:itemID="{59443B37-8F04-4C31-98F1-3A6C5C800EA1}">
  <ds:schemaRefs/>
</ds:datastoreItem>
</file>

<file path=customXml/itemProps3.xml><?xml version="1.0" encoding="utf-8"?>
<ds:datastoreItem xmlns:ds="http://schemas.openxmlformats.org/officeDocument/2006/customXml" ds:itemID="{89812412-B96F-4683-9A79-59C200B1D84D}">
  <ds:schemaRefs/>
</ds:datastoreItem>
</file>

<file path=customXml/itemProps4.xml><?xml version="1.0" encoding="utf-8"?>
<ds:datastoreItem xmlns:ds="http://schemas.openxmlformats.org/officeDocument/2006/customXml" ds:itemID="{85753373-C6CB-4777-B17B-6A45FB0324BC}">
  <ds:schemaRefs/>
</ds:datastoreItem>
</file>

<file path=customXml/itemProps5.xml><?xml version="1.0" encoding="utf-8"?>
<ds:datastoreItem xmlns:ds="http://schemas.openxmlformats.org/officeDocument/2006/customXml" ds:itemID="{3C5EAF21-4569-433C-B780-2268DBCF81BE}">
  <ds:schemaRefs/>
</ds:datastoreItem>
</file>

<file path=customXml/itemProps6.xml><?xml version="1.0" encoding="utf-8"?>
<ds:datastoreItem xmlns:ds="http://schemas.openxmlformats.org/officeDocument/2006/customXml" ds:itemID="{6AFCAAC0-5CB3-4AF5-8BAD-56B4E40C15F5}">
  <ds:schemaRefs/>
</ds:datastoreItem>
</file>

<file path=customXml/itemProps7.xml><?xml version="1.0" encoding="utf-8"?>
<ds:datastoreItem xmlns:ds="http://schemas.openxmlformats.org/officeDocument/2006/customXml" ds:itemID="{39D074EF-843E-449C-9596-AAB790B9AD2B}">
  <ds:schemaRefs/>
</ds:datastoreItem>
</file>

<file path=customXml/itemProps8.xml><?xml version="1.0" encoding="utf-8"?>
<ds:datastoreItem xmlns:ds="http://schemas.openxmlformats.org/officeDocument/2006/customXml" ds:itemID="{63A87F7D-9687-4D05-9455-A8E1188D2B1B}">
  <ds:schemaRefs/>
</ds:datastoreItem>
</file>

<file path=customXml/itemProps9.xml><?xml version="1.0" encoding="utf-8"?>
<ds:datastoreItem xmlns:ds="http://schemas.openxmlformats.org/officeDocument/2006/customXml" ds:itemID="{C29C03EE-146F-4B10-BCB5-258D591F2B77}">
  <ds:schemaRefs/>
</ds:datastoreItem>
</file>

<file path=customXml/itemProps10.xml><?xml version="1.0" encoding="utf-8"?>
<ds:datastoreItem xmlns:ds="http://schemas.openxmlformats.org/officeDocument/2006/customXml" ds:itemID="{7C8EA616-C12B-4A9D-82E0-C5E35EC62210}">
  <ds:schemaRefs/>
</ds:datastoreItem>
</file>

<file path=customXml/itemProps11.xml><?xml version="1.0" encoding="utf-8"?>
<ds:datastoreItem xmlns:ds="http://schemas.openxmlformats.org/officeDocument/2006/customXml" ds:itemID="{93ED70EB-AD38-4726-9E53-5F8824C23989}">
  <ds:schemaRefs>
    <ds:schemaRef ds:uri="http://schemas.microsoft.com/DataMashup"/>
  </ds:schemaRefs>
</ds:datastoreItem>
</file>

<file path=customXml/itemProps12.xml><?xml version="1.0" encoding="utf-8"?>
<ds:datastoreItem xmlns:ds="http://schemas.openxmlformats.org/officeDocument/2006/customXml" ds:itemID="{9FC41DA3-80AE-4182-9CF9-F83B659771A0}">
  <ds:schemaRefs/>
</ds:datastoreItem>
</file>

<file path=customXml/itemProps13.xml><?xml version="1.0" encoding="utf-8"?>
<ds:datastoreItem xmlns:ds="http://schemas.openxmlformats.org/officeDocument/2006/customXml" ds:itemID="{17DDA0A9-7BC9-4B78-A64D-071A9754F758}">
  <ds:schemaRefs/>
</ds:datastoreItem>
</file>

<file path=customXml/itemProps14.xml><?xml version="1.0" encoding="utf-8"?>
<ds:datastoreItem xmlns:ds="http://schemas.openxmlformats.org/officeDocument/2006/customXml" ds:itemID="{ED7CB756-6EAA-4AD5-945D-1F430072B0D4}">
  <ds:schemaRefs/>
</ds:datastoreItem>
</file>

<file path=customXml/itemProps15.xml><?xml version="1.0" encoding="utf-8"?>
<ds:datastoreItem xmlns:ds="http://schemas.openxmlformats.org/officeDocument/2006/customXml" ds:itemID="{D07A1A13-5810-44FF-A8A2-2591BF4B1AF9}">
  <ds:schemaRefs/>
</ds:datastoreItem>
</file>

<file path=customXml/itemProps16.xml><?xml version="1.0" encoding="utf-8"?>
<ds:datastoreItem xmlns:ds="http://schemas.openxmlformats.org/officeDocument/2006/customXml" ds:itemID="{8564FF9F-0573-4EFB-83E7-A560F1BAE328}">
  <ds:schemaRefs/>
</ds:datastoreItem>
</file>

<file path=customXml/itemProps17.xml><?xml version="1.0" encoding="utf-8"?>
<ds:datastoreItem xmlns:ds="http://schemas.openxmlformats.org/officeDocument/2006/customXml" ds:itemID="{1CDAAFAF-8D99-4A9B-B6C7-CF6B4F4BAF8C}">
  <ds:schemaRefs/>
</ds:datastoreItem>
</file>

<file path=customXml/itemProps18.xml><?xml version="1.0" encoding="utf-8"?>
<ds:datastoreItem xmlns:ds="http://schemas.openxmlformats.org/officeDocument/2006/customXml" ds:itemID="{C8C72716-6C2B-4A2A-B0E4-F1EC9CC932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satisfaction score daily trend</vt:lpstr>
      <vt:lpstr>average wait time daily trend</vt:lpstr>
      <vt:lpstr>Daily er of no of patients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yadav</dc:creator>
  <cp:lastModifiedBy>aman yadav</cp:lastModifiedBy>
  <dcterms:created xsi:type="dcterms:W3CDTF">2026-06-12T07:31:20Z</dcterms:created>
  <dcterms:modified xsi:type="dcterms:W3CDTF">2026-06-12T16:12:03Z</dcterms:modified>
</cp:coreProperties>
</file>